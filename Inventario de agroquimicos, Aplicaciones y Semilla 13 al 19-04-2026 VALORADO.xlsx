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13_ncr:1_{EA6FBA74-63C2-47F0-822F-A944E70B224C}" xr6:coauthVersionLast="47" xr6:coauthVersionMax="47" xr10:uidLastSave="{00000000-0000-0000-0000-000000000000}"/>
  <bookViews>
    <workbookView xWindow="-120" yWindow="-120" windowWidth="20730" windowHeight="11160" tabRatio="907" activeTab="2" xr2:uid="{00000000-000D-0000-FFFF-FFFF00000000}"/>
  </bookViews>
  <sheets>
    <sheet name="INVENTARIO AGROQUIMICOS" sheetId="11" r:id="rId1"/>
    <sheet name="SEMILLA" sheetId="16" r:id="rId2"/>
    <sheet name="SALIDAS" sheetId="15" r:id="rId3"/>
    <sheet name="INGRESO" sheetId="14" r:id="rId4"/>
  </sheets>
  <externalReferences>
    <externalReference r:id="rId5"/>
    <externalReference r:id="rId6"/>
  </externalReferences>
  <definedNames>
    <definedName name="_xlnm._FilterDatabase" localSheetId="3" hidden="1">INGRESO!$A$4:$E$4</definedName>
    <definedName name="_xlnm._FilterDatabase" localSheetId="0" hidden="1">'INVENTARIO AGROQUIMICOS'!#REF!</definedName>
    <definedName name="_xlnm._FilterDatabase" localSheetId="2" hidden="1">SALIDAS!$H$3:$Q$3</definedName>
    <definedName name="Comprobantes">'[1]Tabla de Comprobantes'!$A$3:$A$65</definedName>
    <definedName name="PC">'[1]Tabla de Comprobantes'!$E$3:$E$14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5" l="1"/>
  <c r="M6" i="15"/>
  <c r="P6" i="15" s="1"/>
  <c r="M4" i="15"/>
  <c r="P4" i="15" s="1"/>
  <c r="M5" i="15"/>
  <c r="P5" i="15" s="1"/>
  <c r="F169" i="11" l="1"/>
  <c r="G169" i="11"/>
  <c r="F170" i="11"/>
  <c r="G170" i="11"/>
  <c r="F171" i="11"/>
  <c r="G171" i="11"/>
  <c r="F172" i="11"/>
  <c r="G172" i="11"/>
  <c r="B318" i="14"/>
  <c r="B319" i="14"/>
  <c r="B320" i="14"/>
  <c r="B321" i="14"/>
  <c r="B322" i="14"/>
  <c r="B323" i="14"/>
  <c r="B324" i="14"/>
  <c r="H169" i="11" l="1"/>
  <c r="J169" i="11" s="1"/>
  <c r="H170" i="11"/>
  <c r="J170" i="11" s="1"/>
  <c r="H171" i="11"/>
  <c r="J171" i="11" s="1"/>
  <c r="H172" i="11"/>
  <c r="J172" i="11" s="1"/>
  <c r="F166" i="11" l="1"/>
  <c r="G166" i="11"/>
  <c r="F167" i="11"/>
  <c r="G167" i="11"/>
  <c r="F168" i="11"/>
  <c r="G168" i="11"/>
  <c r="B307" i="14"/>
  <c r="B308" i="14"/>
  <c r="B309" i="14"/>
  <c r="B310" i="14"/>
  <c r="B311" i="14"/>
  <c r="B312" i="14"/>
  <c r="B313" i="14"/>
  <c r="B314" i="14"/>
  <c r="B315" i="14"/>
  <c r="B316" i="14"/>
  <c r="B317" i="14"/>
  <c r="H166" i="11" l="1"/>
  <c r="J166" i="11" s="1"/>
  <c r="H167" i="11"/>
  <c r="J167" i="11" s="1"/>
  <c r="H168" i="11"/>
  <c r="J168" i="11" s="1"/>
  <c r="K26" i="14" l="1"/>
  <c r="M26" i="14" s="1"/>
  <c r="H26" i="14"/>
  <c r="K25" i="14"/>
  <c r="H25" i="14"/>
  <c r="M25" i="14"/>
  <c r="B303" i="14"/>
  <c r="B304" i="14"/>
  <c r="B305" i="14"/>
  <c r="B306" i="14"/>
  <c r="B302" i="14" l="1"/>
  <c r="B301" i="14"/>
  <c r="B300" i="14"/>
  <c r="B299" i="14"/>
  <c r="B298" i="14"/>
  <c r="B297" i="14"/>
  <c r="B296" i="14"/>
  <c r="B295" i="14"/>
  <c r="F164" i="11"/>
  <c r="G164" i="11"/>
  <c r="F162" i="11"/>
  <c r="G162" i="11"/>
  <c r="F163" i="11"/>
  <c r="G163" i="11"/>
  <c r="F165" i="11"/>
  <c r="G165" i="11"/>
  <c r="H164" i="11" l="1"/>
  <c r="J164" i="11" s="1"/>
  <c r="H162" i="11"/>
  <c r="J162" i="11" s="1"/>
  <c r="H163" i="11"/>
  <c r="J163" i="11" s="1"/>
  <c r="H165" i="11"/>
  <c r="J165" i="11" s="1"/>
  <c r="B291" i="14"/>
  <c r="B292" i="14"/>
  <c r="B293" i="14"/>
  <c r="B294" i="14"/>
  <c r="F161" i="11"/>
  <c r="G161" i="11"/>
  <c r="H161" i="11" l="1"/>
  <c r="J161" i="11" s="1"/>
  <c r="F153" i="11" l="1"/>
  <c r="F154" i="11"/>
  <c r="G153" i="11"/>
  <c r="G154" i="11"/>
  <c r="F155" i="11"/>
  <c r="F156" i="11"/>
  <c r="G155" i="11"/>
  <c r="G156" i="11"/>
  <c r="F157" i="11"/>
  <c r="F158" i="11"/>
  <c r="G157" i="11"/>
  <c r="G158" i="11"/>
  <c r="F159" i="11"/>
  <c r="G159" i="11"/>
  <c r="F160" i="11"/>
  <c r="G160" i="11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H156" i="11" l="1"/>
  <c r="J156" i="11" s="1"/>
  <c r="H158" i="11"/>
  <c r="J158" i="11" s="1"/>
  <c r="H154" i="11"/>
  <c r="J154" i="11" s="1"/>
  <c r="H157" i="11"/>
  <c r="J157" i="11" s="1"/>
  <c r="H155" i="11"/>
  <c r="J155" i="11" s="1"/>
  <c r="H153" i="11"/>
  <c r="J153" i="11" s="1"/>
  <c r="H159" i="11"/>
  <c r="J159" i="11" s="1"/>
  <c r="H160" i="11"/>
  <c r="J160" i="11" s="1"/>
  <c r="K24" i="14" l="1"/>
  <c r="M24" i="14" s="1"/>
  <c r="H2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F151" i="11" l="1"/>
  <c r="G151" i="11"/>
  <c r="F152" i="11"/>
  <c r="G152" i="11"/>
  <c r="F150" i="11"/>
  <c r="G150" i="11"/>
  <c r="F145" i="11"/>
  <c r="F146" i="11"/>
  <c r="G145" i="11"/>
  <c r="G146" i="11"/>
  <c r="F147" i="11"/>
  <c r="F148" i="11"/>
  <c r="G147" i="11"/>
  <c r="G148" i="11"/>
  <c r="F149" i="11"/>
  <c r="G149" i="11"/>
  <c r="G129" i="11"/>
  <c r="H151" i="11" l="1"/>
  <c r="J151" i="11" s="1"/>
  <c r="H152" i="11"/>
  <c r="J152" i="11" s="1"/>
  <c r="H150" i="11"/>
  <c r="J150" i="11" s="1"/>
  <c r="H146" i="11"/>
  <c r="J146" i="11" s="1"/>
  <c r="H145" i="11"/>
  <c r="J145" i="11" s="1"/>
  <c r="H148" i="11"/>
  <c r="J148" i="11" s="1"/>
  <c r="H147" i="11"/>
  <c r="J147" i="11" s="1"/>
  <c r="H149" i="11"/>
  <c r="J149" i="11" s="1"/>
  <c r="K22" i="14" l="1"/>
  <c r="M22" i="14" s="1"/>
  <c r="K21" i="14"/>
  <c r="M21" i="14" s="1"/>
  <c r="K23" i="14"/>
  <c r="M23" i="14" s="1"/>
  <c r="H23" i="14"/>
  <c r="H22" i="14"/>
  <c r="H21" i="14"/>
  <c r="G134" i="11"/>
  <c r="F133" i="11" l="1"/>
  <c r="F134" i="11"/>
  <c r="F135" i="11"/>
  <c r="F136" i="11"/>
  <c r="F137" i="11"/>
  <c r="G133" i="11"/>
  <c r="G135" i="11"/>
  <c r="G136" i="11"/>
  <c r="G137" i="11"/>
  <c r="F138" i="11"/>
  <c r="F139" i="11"/>
  <c r="F140" i="11"/>
  <c r="F141" i="11"/>
  <c r="G138" i="11"/>
  <c r="G139" i="11"/>
  <c r="G140" i="11"/>
  <c r="G141" i="11"/>
  <c r="F142" i="11"/>
  <c r="F143" i="11"/>
  <c r="G142" i="11"/>
  <c r="G143" i="11"/>
  <c r="F144" i="11"/>
  <c r="G144" i="11"/>
  <c r="K20" i="14"/>
  <c r="M20" i="14" s="1"/>
  <c r="H20" i="14"/>
  <c r="K19" i="14"/>
  <c r="M19" i="14" s="1"/>
  <c r="K18" i="14"/>
  <c r="M18" i="14" s="1"/>
  <c r="K17" i="14"/>
  <c r="M17" i="14" s="1"/>
  <c r="H19" i="14"/>
  <c r="H18" i="14"/>
  <c r="H17" i="14"/>
  <c r="E13" i="16"/>
  <c r="E14" i="16"/>
  <c r="G13" i="16"/>
  <c r="G14" i="16"/>
  <c r="H137" i="11" l="1"/>
  <c r="J137" i="11" s="1"/>
  <c r="H136" i="11"/>
  <c r="J136" i="11" s="1"/>
  <c r="H139" i="11"/>
  <c r="J139" i="11" s="1"/>
  <c r="H135" i="11"/>
  <c r="J135" i="11" s="1"/>
  <c r="H138" i="11"/>
  <c r="J138" i="11" s="1"/>
  <c r="H134" i="11"/>
  <c r="J134" i="11" s="1"/>
  <c r="H140" i="11"/>
  <c r="J140" i="11" s="1"/>
  <c r="H133" i="11"/>
  <c r="J133" i="11" s="1"/>
  <c r="H141" i="11"/>
  <c r="J141" i="11" s="1"/>
  <c r="H143" i="11"/>
  <c r="J143" i="11" s="1"/>
  <c r="H142" i="11"/>
  <c r="J142" i="11" s="1"/>
  <c r="H144" i="11"/>
  <c r="J144" i="11" s="1"/>
  <c r="I13" i="16"/>
  <c r="I14" i="16"/>
  <c r="K16" i="14" l="1"/>
  <c r="M16" i="14" s="1"/>
  <c r="H16" i="14"/>
  <c r="K15" i="14"/>
  <c r="M15" i="14" s="1"/>
  <c r="H15" i="14"/>
  <c r="E12" i="16"/>
  <c r="G12" i="16"/>
  <c r="I12" i="16" l="1"/>
  <c r="F131" i="11"/>
  <c r="G131" i="11"/>
  <c r="F132" i="11"/>
  <c r="G132" i="11"/>
  <c r="H131" i="11" l="1"/>
  <c r="J131" i="11" s="1"/>
  <c r="H132" i="11"/>
  <c r="J132" i="11" s="1"/>
  <c r="F128" i="11" l="1"/>
  <c r="G128" i="11"/>
  <c r="F129" i="11"/>
  <c r="F130" i="11"/>
  <c r="G130" i="11"/>
  <c r="H128" i="11" l="1"/>
  <c r="J128" i="11" s="1"/>
  <c r="H129" i="11"/>
  <c r="J129" i="11" s="1"/>
  <c r="H130" i="11"/>
  <c r="J130" i="11" s="1"/>
  <c r="F127" i="11" l="1"/>
  <c r="G127" i="11"/>
  <c r="H127" i="11" l="1"/>
  <c r="J127" i="11" s="1"/>
  <c r="F124" i="11" l="1"/>
  <c r="G124" i="11"/>
  <c r="F125" i="11"/>
  <c r="G125" i="11"/>
  <c r="F126" i="11"/>
  <c r="G126" i="11"/>
  <c r="H124" i="11" l="1"/>
  <c r="J124" i="11" s="1"/>
  <c r="H125" i="11"/>
  <c r="J125" i="11" s="1"/>
  <c r="H126" i="11"/>
  <c r="J126" i="11" s="1"/>
  <c r="F123" i="11" l="1"/>
  <c r="G123" i="11"/>
  <c r="H123" i="11" l="1"/>
  <c r="J123" i="11" s="1"/>
  <c r="F122" i="11" l="1"/>
  <c r="G122" i="11"/>
  <c r="F120" i="11"/>
  <c r="G120" i="11"/>
  <c r="F121" i="11"/>
  <c r="G121" i="11"/>
  <c r="H122" i="11" l="1"/>
  <c r="J122" i="11" s="1"/>
  <c r="H120" i="11"/>
  <c r="J120" i="11" s="1"/>
  <c r="H121" i="11"/>
  <c r="J121" i="11" s="1"/>
  <c r="F119" i="11" l="1"/>
  <c r="G119" i="11"/>
  <c r="H119" i="11" l="1"/>
  <c r="J119" i="11" s="1"/>
  <c r="G116" i="11"/>
  <c r="F116" i="11"/>
  <c r="F117" i="11"/>
  <c r="G117" i="11"/>
  <c r="F118" i="11"/>
  <c r="G118" i="11"/>
  <c r="H116" i="11" l="1"/>
  <c r="J116" i="11" s="1"/>
  <c r="H117" i="11"/>
  <c r="J117" i="11" s="1"/>
  <c r="H118" i="11"/>
  <c r="J118" i="11" s="1"/>
  <c r="G115" i="11" l="1"/>
  <c r="F115" i="11" l="1"/>
  <c r="F113" i="11"/>
  <c r="G113" i="11"/>
  <c r="F114" i="11"/>
  <c r="G114" i="11"/>
  <c r="H115" i="11" l="1"/>
  <c r="J115" i="11" s="1"/>
  <c r="H113" i="11"/>
  <c r="J113" i="11" s="1"/>
  <c r="H114" i="11"/>
  <c r="J114" i="11" s="1"/>
  <c r="G111" i="11"/>
  <c r="G112" i="11" l="1"/>
  <c r="H111" i="11" l="1"/>
  <c r="J111" i="11" s="1"/>
  <c r="H112" i="11"/>
  <c r="J112" i="11" s="1"/>
  <c r="G107" i="11" l="1"/>
  <c r="F110" i="11" l="1"/>
  <c r="G110" i="11"/>
  <c r="H110" i="11" l="1"/>
  <c r="J110" i="11" s="1"/>
  <c r="F107" i="11" l="1"/>
  <c r="F108" i="11"/>
  <c r="G108" i="11"/>
  <c r="F109" i="11"/>
  <c r="G109" i="11"/>
  <c r="H107" i="11" l="1"/>
  <c r="J107" i="11" s="1"/>
  <c r="H108" i="11"/>
  <c r="J108" i="11" s="1"/>
  <c r="H109" i="11"/>
  <c r="J109" i="11" s="1"/>
  <c r="F106" i="11"/>
  <c r="G106" i="11"/>
  <c r="G100" i="11"/>
  <c r="H106" i="11" l="1"/>
  <c r="J106" i="11" s="1"/>
  <c r="F99" i="11" l="1"/>
  <c r="G99" i="11"/>
  <c r="F100" i="11"/>
  <c r="F101" i="11"/>
  <c r="G101" i="11"/>
  <c r="F102" i="11"/>
  <c r="G102" i="11"/>
  <c r="F103" i="11"/>
  <c r="G103" i="11"/>
  <c r="F104" i="11"/>
  <c r="G104" i="11"/>
  <c r="F105" i="11"/>
  <c r="G105" i="11"/>
  <c r="H99" i="11" l="1"/>
  <c r="J99" i="11" s="1"/>
  <c r="H100" i="11"/>
  <c r="J100" i="11" s="1"/>
  <c r="H101" i="11"/>
  <c r="J101" i="11" s="1"/>
  <c r="H102" i="11"/>
  <c r="J102" i="11" s="1"/>
  <c r="H103" i="11"/>
  <c r="J103" i="11" s="1"/>
  <c r="H104" i="11"/>
  <c r="J104" i="11" s="1"/>
  <c r="H105" i="11"/>
  <c r="J105" i="11" s="1"/>
  <c r="F98" i="11" l="1"/>
  <c r="G98" i="11"/>
  <c r="H98" i="11" l="1"/>
  <c r="J98" i="11" s="1"/>
  <c r="F96" i="11" l="1"/>
  <c r="G96" i="11"/>
  <c r="F97" i="11"/>
  <c r="G97" i="11"/>
  <c r="H96" i="11" l="1"/>
  <c r="J96" i="11" s="1"/>
  <c r="H97" i="11"/>
  <c r="J97" i="11" s="1"/>
  <c r="F91" i="11" l="1"/>
  <c r="G91" i="11"/>
  <c r="F94" i="11"/>
  <c r="G94" i="11"/>
  <c r="F95" i="11"/>
  <c r="G95" i="11"/>
  <c r="F92" i="11"/>
  <c r="G92" i="11"/>
  <c r="F93" i="11"/>
  <c r="G93" i="11"/>
  <c r="H91" i="11" l="1"/>
  <c r="J91" i="11" s="1"/>
  <c r="H94" i="11"/>
  <c r="J94" i="11" s="1"/>
  <c r="H95" i="11"/>
  <c r="J95" i="11" s="1"/>
  <c r="H92" i="11"/>
  <c r="J92" i="11" s="1"/>
  <c r="H93" i="11"/>
  <c r="J93" i="11" s="1"/>
  <c r="F90" i="11"/>
  <c r="G90" i="11"/>
  <c r="M7" i="14"/>
  <c r="M8" i="14"/>
  <c r="K14" i="14"/>
  <c r="M14" i="14" s="1"/>
  <c r="H14" i="14"/>
  <c r="E11" i="16"/>
  <c r="G11" i="16"/>
  <c r="K13" i="14"/>
  <c r="M13" i="14" s="1"/>
  <c r="H13" i="14"/>
  <c r="E10" i="16"/>
  <c r="G10" i="16"/>
  <c r="K12" i="14"/>
  <c r="M12" i="14" s="1"/>
  <c r="H12" i="14"/>
  <c r="K11" i="14"/>
  <c r="M11" i="14" s="1"/>
  <c r="H11" i="14"/>
  <c r="K10" i="14"/>
  <c r="M10" i="14" s="1"/>
  <c r="H10" i="14"/>
  <c r="H90" i="11" l="1"/>
  <c r="J90" i="11" s="1"/>
  <c r="I10" i="16"/>
  <c r="I11" i="16"/>
  <c r="G89" i="11" l="1"/>
  <c r="G88" i="11"/>
  <c r="F86" i="11" l="1"/>
  <c r="G86" i="11"/>
  <c r="F87" i="11"/>
  <c r="G87" i="11"/>
  <c r="F88" i="11"/>
  <c r="F89" i="11"/>
  <c r="E9" i="16"/>
  <c r="L9" i="16" s="1"/>
  <c r="G9" i="16"/>
  <c r="F83" i="11"/>
  <c r="G83" i="11"/>
  <c r="F84" i="11"/>
  <c r="G84" i="11"/>
  <c r="F85" i="11"/>
  <c r="G85" i="11"/>
  <c r="H86" i="11" l="1"/>
  <c r="J86" i="11" s="1"/>
  <c r="H87" i="11"/>
  <c r="J87" i="11" s="1"/>
  <c r="H88" i="11"/>
  <c r="J88" i="11" s="1"/>
  <c r="H89" i="11"/>
  <c r="J89" i="11" s="1"/>
  <c r="I9" i="16"/>
  <c r="H84" i="11"/>
  <c r="J84" i="11" s="1"/>
  <c r="H83" i="11"/>
  <c r="J83" i="11" s="1"/>
  <c r="H85" i="11"/>
  <c r="J85" i="11" s="1"/>
  <c r="F82" i="11" l="1"/>
  <c r="G82" i="11"/>
  <c r="H82" i="11" l="1"/>
  <c r="J82" i="11" s="1"/>
  <c r="K9" i="14" l="1"/>
  <c r="M9" i="14" s="1"/>
  <c r="H9" i="14"/>
  <c r="E8" i="16"/>
  <c r="L8" i="16" s="1"/>
  <c r="M8" i="16" s="1"/>
  <c r="G8" i="16"/>
  <c r="F80" i="11"/>
  <c r="G80" i="11"/>
  <c r="F81" i="11"/>
  <c r="G81" i="11"/>
  <c r="I8" i="16" l="1"/>
  <c r="H81" i="11"/>
  <c r="J81" i="11" s="1"/>
  <c r="H80" i="11"/>
  <c r="J80" i="11" s="1"/>
  <c r="F75" i="11" l="1"/>
  <c r="F76" i="11"/>
  <c r="G75" i="11"/>
  <c r="G76" i="11"/>
  <c r="F77" i="11"/>
  <c r="G77" i="11"/>
  <c r="F78" i="11"/>
  <c r="G78" i="11"/>
  <c r="F79" i="11"/>
  <c r="G79" i="11"/>
  <c r="H76" i="11" l="1"/>
  <c r="J76" i="11" s="1"/>
  <c r="H75" i="11"/>
  <c r="J75" i="11" s="1"/>
  <c r="H77" i="11"/>
  <c r="J77" i="11" s="1"/>
  <c r="H78" i="11"/>
  <c r="J78" i="11" s="1"/>
  <c r="H79" i="11"/>
  <c r="J79" i="11" s="1"/>
  <c r="F74" i="11" l="1"/>
  <c r="G74" i="11"/>
  <c r="H74" i="11" l="1"/>
  <c r="J74" i="11" s="1"/>
  <c r="H13" i="16" l="1"/>
  <c r="H14" i="16"/>
  <c r="H12" i="16"/>
  <c r="I173" i="11"/>
  <c r="F73" i="11" l="1"/>
  <c r="G73" i="11"/>
  <c r="F72" i="11"/>
  <c r="G72" i="11"/>
  <c r="H73" i="11" l="1"/>
  <c r="J73" i="11" s="1"/>
  <c r="H72" i="11"/>
  <c r="J72" i="11" s="1"/>
  <c r="F71" i="11" l="1"/>
  <c r="G71" i="11"/>
  <c r="H71" i="11" l="1"/>
  <c r="J71" i="11" s="1"/>
  <c r="G5" i="16"/>
  <c r="G6" i="16"/>
  <c r="G7" i="16"/>
  <c r="G4" i="16"/>
  <c r="H8" i="16"/>
  <c r="H9" i="16"/>
  <c r="H10" i="16"/>
  <c r="H11" i="16"/>
  <c r="K6" i="14"/>
  <c r="M6" i="14" s="1"/>
  <c r="I5" i="15" l="1"/>
  <c r="F5" i="11" l="1"/>
  <c r="E5" i="16"/>
  <c r="L5" i="16" s="1"/>
  <c r="E6" i="16"/>
  <c r="E7" i="16"/>
  <c r="J5" i="14"/>
  <c r="H8" i="14"/>
  <c r="H7" i="14"/>
  <c r="H6" i="14"/>
  <c r="H5" i="14"/>
  <c r="F12" i="16" l="1"/>
  <c r="F14" i="16"/>
  <c r="L14" i="16" s="1"/>
  <c r="F13" i="16"/>
  <c r="I7" i="16"/>
  <c r="L7" i="16"/>
  <c r="I6" i="16"/>
  <c r="L6" i="16"/>
  <c r="F11" i="16"/>
  <c r="L11" i="16" s="1"/>
  <c r="F10" i="16"/>
  <c r="L10" i="16" s="1"/>
  <c r="F9" i="16"/>
  <c r="I5" i="16"/>
  <c r="F8" i="16"/>
  <c r="F6" i="16"/>
  <c r="E4" i="16"/>
  <c r="L4" i="16" s="1"/>
  <c r="K5" i="14"/>
  <c r="H4" i="16"/>
  <c r="H5" i="16"/>
  <c r="H6" i="16"/>
  <c r="H7" i="16"/>
  <c r="F5" i="16"/>
  <c r="M5" i="16" s="1"/>
  <c r="F7" i="16"/>
  <c r="J14" i="16" l="1"/>
  <c r="M14" i="16"/>
  <c r="J13" i="16"/>
  <c r="L13" i="16"/>
  <c r="M13" i="16" s="1"/>
  <c r="J12" i="16"/>
  <c r="L12" i="16"/>
  <c r="M12" i="16" s="1"/>
  <c r="J11" i="16"/>
  <c r="M11" i="16"/>
  <c r="M7" i="16"/>
  <c r="M6" i="16"/>
  <c r="F4" i="16"/>
  <c r="J4" i="16" s="1"/>
  <c r="M5" i="14"/>
  <c r="J10" i="16"/>
  <c r="M10" i="16"/>
  <c r="J9" i="16"/>
  <c r="M9" i="16"/>
  <c r="J8" i="16"/>
  <c r="J7" i="16"/>
  <c r="J5" i="16"/>
  <c r="J6" i="16"/>
  <c r="I4" i="16"/>
  <c r="M4" i="16"/>
  <c r="I4" i="15" l="1"/>
  <c r="G6" i="11" l="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173" i="11" l="1"/>
  <c r="G173" i="11"/>
  <c r="H15" i="11"/>
  <c r="H7" i="11"/>
  <c r="J7" i="11" s="1"/>
  <c r="H33" i="11"/>
  <c r="J33" i="11" s="1"/>
  <c r="H25" i="11"/>
  <c r="J25" i="11" s="1"/>
  <c r="H17" i="11"/>
  <c r="J17" i="11" s="1"/>
  <c r="H9" i="11"/>
  <c r="J9" i="11" s="1"/>
  <c r="H23" i="11"/>
  <c r="J23" i="11" s="1"/>
  <c r="H16" i="11"/>
  <c r="J16" i="11" s="1"/>
  <c r="H8" i="11"/>
  <c r="J8" i="11" s="1"/>
  <c r="H41" i="11"/>
  <c r="J41" i="11" s="1"/>
  <c r="H49" i="11"/>
  <c r="J49" i="11" s="1"/>
  <c r="H31" i="11"/>
  <c r="J31" i="11" s="1"/>
  <c r="H39" i="11"/>
  <c r="J39" i="11" s="1"/>
  <c r="H55" i="11"/>
  <c r="J55" i="11" s="1"/>
  <c r="H63" i="11"/>
  <c r="J63" i="11" s="1"/>
  <c r="H47" i="11"/>
  <c r="J47" i="11" s="1"/>
  <c r="H11" i="11"/>
  <c r="J11" i="11" s="1"/>
  <c r="H67" i="11"/>
  <c r="J67" i="11" s="1"/>
  <c r="H46" i="11"/>
  <c r="J46" i="11" s="1"/>
  <c r="H54" i="11"/>
  <c r="J54" i="11" s="1"/>
  <c r="H38" i="11"/>
  <c r="J38" i="11" s="1"/>
  <c r="H30" i="11"/>
  <c r="J30" i="11" s="1"/>
  <c r="H14" i="11"/>
  <c r="J14" i="11" s="1"/>
  <c r="H6" i="11"/>
  <c r="J6" i="11" s="1"/>
  <c r="H62" i="11"/>
  <c r="J62" i="11" s="1"/>
  <c r="H22" i="11"/>
  <c r="J22" i="11" s="1"/>
  <c r="H56" i="11"/>
  <c r="J56" i="11" s="1"/>
  <c r="H48" i="11"/>
  <c r="J48" i="11" s="1"/>
  <c r="H40" i="11"/>
  <c r="J40" i="11" s="1"/>
  <c r="H32" i="11"/>
  <c r="J32" i="11" s="1"/>
  <c r="H24" i="11"/>
  <c r="J24" i="11" s="1"/>
  <c r="H60" i="11"/>
  <c r="J60" i="11" s="1"/>
  <c r="H36" i="11"/>
  <c r="J36" i="11" s="1"/>
  <c r="H58" i="11"/>
  <c r="J58" i="11" s="1"/>
  <c r="H50" i="11"/>
  <c r="J50" i="11" s="1"/>
  <c r="H42" i="11"/>
  <c r="J42" i="11" s="1"/>
  <c r="H34" i="11"/>
  <c r="J34" i="11" s="1"/>
  <c r="H26" i="11"/>
  <c r="J26" i="11" s="1"/>
  <c r="H18" i="11"/>
  <c r="J18" i="11" s="1"/>
  <c r="H10" i="11"/>
  <c r="J10" i="11" s="1"/>
  <c r="H64" i="11"/>
  <c r="J64" i="11" s="1"/>
  <c r="H44" i="11"/>
  <c r="J44" i="11" s="1"/>
  <c r="H52" i="11"/>
  <c r="J52" i="11" s="1"/>
  <c r="H68" i="11"/>
  <c r="J68" i="11" s="1"/>
  <c r="H20" i="11"/>
  <c r="J20" i="11" s="1"/>
  <c r="H28" i="11"/>
  <c r="J28" i="11" s="1"/>
  <c r="H12" i="11"/>
  <c r="J12" i="11" s="1"/>
  <c r="H5" i="11"/>
  <c r="J5" i="11" s="1"/>
  <c r="H70" i="11"/>
  <c r="J70" i="11" s="1"/>
  <c r="H69" i="11"/>
  <c r="J69" i="11" s="1"/>
  <c r="H61" i="11"/>
  <c r="J61" i="11" s="1"/>
  <c r="H53" i="11"/>
  <c r="J53" i="11" s="1"/>
  <c r="H45" i="11"/>
  <c r="J45" i="11" s="1"/>
  <c r="H37" i="11"/>
  <c r="J37" i="11" s="1"/>
  <c r="H29" i="11"/>
  <c r="J29" i="11" s="1"/>
  <c r="H21" i="11"/>
  <c r="J21" i="11" s="1"/>
  <c r="H13" i="11"/>
  <c r="J13" i="11" s="1"/>
  <c r="H59" i="11"/>
  <c r="J59" i="11" s="1"/>
  <c r="H51" i="11"/>
  <c r="J51" i="11" s="1"/>
  <c r="H43" i="11"/>
  <c r="J43" i="11" s="1"/>
  <c r="H35" i="11"/>
  <c r="J35" i="11" s="1"/>
  <c r="H27" i="11"/>
  <c r="J27" i="11" s="1"/>
  <c r="H19" i="11"/>
  <c r="J19" i="11" s="1"/>
  <c r="H66" i="11"/>
  <c r="J66" i="11" s="1"/>
  <c r="H65" i="11"/>
  <c r="J65" i="11" s="1"/>
  <c r="H57" i="11"/>
  <c r="J57" i="11" s="1"/>
  <c r="J15" i="11" l="1"/>
  <c r="J173" i="11" s="1"/>
  <c r="H173" i="11"/>
</calcChain>
</file>

<file path=xl/sharedStrings.xml><?xml version="1.0" encoding="utf-8"?>
<sst xmlns="http://schemas.openxmlformats.org/spreadsheetml/2006/main" count="1635" uniqueCount="620">
  <si>
    <t xml:space="preserve"> No. Aplicación </t>
  </si>
  <si>
    <t>Trump</t>
  </si>
  <si>
    <t xml:space="preserve">Cant. Hectáreas </t>
  </si>
  <si>
    <t>Justiciero</t>
  </si>
  <si>
    <t>Polarex</t>
  </si>
  <si>
    <t>Komus flex</t>
  </si>
  <si>
    <t>Herbicida</t>
  </si>
  <si>
    <t>Rimon fast</t>
  </si>
  <si>
    <t>Fulvin</t>
  </si>
  <si>
    <t>Insecticida</t>
  </si>
  <si>
    <t>Fungicida</t>
  </si>
  <si>
    <t>Forspray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</si>
  <si>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</si>
  <si>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</si>
  <si>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</si>
  <si>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</si>
  <si>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</si>
  <si>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</si>
  <si>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</si>
  <si>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</si>
  <si>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</si>
  <si>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</si>
  <si>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</si>
  <si>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</si>
  <si>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</si>
  <si>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</si>
  <si>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</si>
  <si>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</si>
  <si>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</si>
  <si>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</si>
  <si>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</si>
  <si>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</si>
  <si>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</si>
  <si>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</si>
  <si>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</si>
  <si>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</si>
  <si>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</si>
  <si>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</si>
  <si>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</si>
  <si>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</si>
  <si>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</si>
  <si>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</si>
  <si>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</si>
  <si>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</si>
  <si>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</si>
  <si>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</si>
  <si>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</si>
  <si>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</si>
  <si>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</si>
  <si>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</si>
  <si>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</si>
  <si>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</si>
  <si>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</si>
  <si>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</si>
  <si>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</si>
  <si>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</si>
  <si>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</si>
  <si>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</si>
  <si>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</si>
  <si>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</si>
  <si>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</si>
  <si>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</si>
  <si>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</si>
  <si>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</si>
  <si>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</si>
  <si>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</si>
  <si>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</si>
  <si>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</si>
  <si>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</si>
  <si>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</si>
  <si>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</si>
  <si>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</si>
  <si>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</si>
  <si>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</si>
  <si>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</si>
  <si>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</si>
  <si>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</si>
  <si>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</si>
  <si>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4-energy</t>
  </si>
  <si>
    <t xml:space="preserve">ENTRADAS </t>
  </si>
  <si>
    <t>SALIDAS</t>
  </si>
  <si>
    <t>INVENTARIO TACUARAL DE AGROQUIMICOS Y APLICACIONES</t>
  </si>
  <si>
    <t>CODIGO</t>
  </si>
  <si>
    <t>ARTICULO</t>
  </si>
  <si>
    <t>FECHA</t>
  </si>
  <si>
    <t>CANTIDAD</t>
  </si>
  <si>
    <t>PROVEEDOR</t>
  </si>
  <si>
    <t>Produto</t>
  </si>
  <si>
    <t>Total Producto</t>
  </si>
  <si>
    <t xml:space="preserve">MAINTER </t>
  </si>
  <si>
    <t>MAINTER</t>
  </si>
  <si>
    <t>A01</t>
  </si>
  <si>
    <t>Gain nitro</t>
  </si>
  <si>
    <t>Libamin</t>
  </si>
  <si>
    <t>Tonus</t>
  </si>
  <si>
    <t>Acarol plus</t>
  </si>
  <si>
    <t>Albaforte</t>
  </si>
  <si>
    <t>Jumkan</t>
  </si>
  <si>
    <t>Bulhnova</t>
  </si>
  <si>
    <t xml:space="preserve">A-micsur zn </t>
  </si>
  <si>
    <t>Rein</t>
  </si>
  <si>
    <t>Ardent</t>
  </si>
  <si>
    <t>Pqm domino</t>
  </si>
  <si>
    <t>Curative</t>
  </si>
  <si>
    <t>Tebucon max</t>
  </si>
  <si>
    <t>Concert</t>
  </si>
  <si>
    <t>Carbensoy</t>
  </si>
  <si>
    <t>Dual gold</t>
  </si>
  <si>
    <t>Prime</t>
  </si>
  <si>
    <t>Herbinale</t>
  </si>
  <si>
    <t>Racing</t>
  </si>
  <si>
    <t>Capaz</t>
  </si>
  <si>
    <t xml:space="preserve">Cow boy </t>
  </si>
  <si>
    <t>Prado xtra</t>
  </si>
  <si>
    <t>Power weed</t>
  </si>
  <si>
    <t>Metsuron</t>
  </si>
  <si>
    <t>Trigger</t>
  </si>
  <si>
    <t>Cletodinap</t>
  </si>
  <si>
    <t>Nifuron</t>
  </si>
  <si>
    <t>Galactic</t>
  </si>
  <si>
    <t>Defolar-s</t>
  </si>
  <si>
    <t>Goliath</t>
  </si>
  <si>
    <t>Ultimatum</t>
  </si>
  <si>
    <t>Clonapyr</t>
  </si>
  <si>
    <t>Proxyfen</t>
  </si>
  <si>
    <t>Bitrin</t>
  </si>
  <si>
    <t>Crucero plus</t>
  </si>
  <si>
    <t>Nanofos</t>
  </si>
  <si>
    <t>Thorsagro</t>
  </si>
  <si>
    <t>Liberty</t>
  </si>
  <si>
    <t>Sunami</t>
  </si>
  <si>
    <t>Quintal xtra</t>
  </si>
  <si>
    <t>Joker</t>
  </si>
  <si>
    <t xml:space="preserve">Imidap </t>
  </si>
  <si>
    <t>Color seed</t>
  </si>
  <si>
    <t>Neger</t>
  </si>
  <si>
    <t>Flumyzin</t>
  </si>
  <si>
    <t>Larvex</t>
  </si>
  <si>
    <t>Pehuen</t>
  </si>
  <si>
    <t>Belator</t>
  </si>
  <si>
    <t>Soja siembra plus</t>
  </si>
  <si>
    <t>Clasix</t>
  </si>
  <si>
    <t>Tocon</t>
  </si>
  <si>
    <t>Spinor</t>
  </si>
  <si>
    <t>Fury 200</t>
  </si>
  <si>
    <t>Coragen</t>
  </si>
  <si>
    <t>Nebutane</t>
  </si>
  <si>
    <t>Pradel</t>
  </si>
  <si>
    <t>Akinon</t>
  </si>
  <si>
    <t>Convert</t>
  </si>
  <si>
    <t>Litros</t>
  </si>
  <si>
    <t>Kilos</t>
  </si>
  <si>
    <t>Fertilizante</t>
  </si>
  <si>
    <t xml:space="preserve">Acaricida </t>
  </si>
  <si>
    <t>Coadyuvante</t>
  </si>
  <si>
    <t>Lava tanque</t>
  </si>
  <si>
    <t xml:space="preserve">Fungicida </t>
  </si>
  <si>
    <t xml:space="preserve">Insecticida </t>
  </si>
  <si>
    <t>Insectcida</t>
  </si>
  <si>
    <t>VARIEDAD</t>
  </si>
  <si>
    <t xml:space="preserve">INVENTARIO SEMILLA  TACUARAL </t>
  </si>
  <si>
    <t>TIPO SEMILLA</t>
  </si>
  <si>
    <t>UNIDAD</t>
  </si>
  <si>
    <t>Kg</t>
  </si>
  <si>
    <t>SEMILLA SOYA CON CATEGORIA (40Kgs)</t>
  </si>
  <si>
    <t>SEMILLA SORGO (20 Kgs)</t>
  </si>
  <si>
    <t>S01</t>
  </si>
  <si>
    <t>S02</t>
  </si>
  <si>
    <t>S03</t>
  </si>
  <si>
    <t>S04</t>
  </si>
  <si>
    <t>SW 4795</t>
  </si>
  <si>
    <t>DKS-520</t>
  </si>
  <si>
    <t>JISUNU 101</t>
  </si>
  <si>
    <t>OBSERVACIONES</t>
  </si>
  <si>
    <t>PRECIO KG</t>
  </si>
  <si>
    <t>TOTAL BS</t>
  </si>
  <si>
    <t>Planilla de Control de Ingreso de Semillas y Agroquímicos</t>
  </si>
  <si>
    <t>NOMBRE PRODUCTOS</t>
  </si>
  <si>
    <t>UNIDAD MEDIDA LT. KG.</t>
  </si>
  <si>
    <t>CATEGORIA DE PRODUCTO</t>
  </si>
  <si>
    <t>STOCK ACTUAL</t>
  </si>
  <si>
    <t>SALDO INVIERNO</t>
  </si>
  <si>
    <t>A02</t>
  </si>
  <si>
    <t>CANTIDAD BOLSAS</t>
  </si>
  <si>
    <t>TOTAL KG.</t>
  </si>
  <si>
    <t>STOCK BOLSA</t>
  </si>
  <si>
    <t>STOCK KG.</t>
  </si>
  <si>
    <t>SALIDAS BOLSA</t>
  </si>
  <si>
    <t>SALIDA KG</t>
  </si>
  <si>
    <t>AGROQUIMICOS</t>
  </si>
  <si>
    <t>SEMILLA</t>
  </si>
  <si>
    <t>Tacuaral</t>
  </si>
  <si>
    <t>A067</t>
  </si>
  <si>
    <t>PRINCIPIO ACTIVO</t>
  </si>
  <si>
    <t>fulvin</t>
  </si>
  <si>
    <t>gain nitro</t>
  </si>
  <si>
    <t>aminoacidos</t>
  </si>
  <si>
    <t>tonus</t>
  </si>
  <si>
    <t>abamectina,   propargite</t>
  </si>
  <si>
    <t>abamectina 5%</t>
  </si>
  <si>
    <t>komus flex</t>
  </si>
  <si>
    <t>coadyuvante</t>
  </si>
  <si>
    <t>microorganismos</t>
  </si>
  <si>
    <t>acidos fulvicos 5%</t>
  </si>
  <si>
    <t>fertilizante organico mineral</t>
  </si>
  <si>
    <t>lava tanque</t>
  </si>
  <si>
    <t>picoxystrobin, cyproconazole</t>
  </si>
  <si>
    <t>pyraclostrobin, epoxyconazole</t>
  </si>
  <si>
    <t>azoxistrobin, protioconazole</t>
  </si>
  <si>
    <t>tebuconazole 43%</t>
  </si>
  <si>
    <t>pyraclostrobin, difenoconazole</t>
  </si>
  <si>
    <t>carbendazin 50%</t>
  </si>
  <si>
    <t>metalaclor 96%</t>
  </si>
  <si>
    <t>glufosinato de amonio 20%</t>
  </si>
  <si>
    <t>bentazone 48%</t>
  </si>
  <si>
    <t>sulfrentrazone 50%</t>
  </si>
  <si>
    <t>dicamba 20%</t>
  </si>
  <si>
    <t>2,4-D, acido aminopyralid</t>
  </si>
  <si>
    <t>flumioxazine 48%</t>
  </si>
  <si>
    <t>metsulfuron  60%</t>
  </si>
  <si>
    <t>fenoxaprop 6%</t>
  </si>
  <si>
    <t>cletodin 24%</t>
  </si>
  <si>
    <t>nicosulfuron 75%</t>
  </si>
  <si>
    <t>fomesafen 25%</t>
  </si>
  <si>
    <t>paraquat 27%</t>
  </si>
  <si>
    <t>clorfenapyr</t>
  </si>
  <si>
    <t>benzoato</t>
  </si>
  <si>
    <t>clorfenapyr 24%</t>
  </si>
  <si>
    <t>pyriprocxyfen</t>
  </si>
  <si>
    <t>biffentrina</t>
  </si>
  <si>
    <t>thiamethoxan</t>
  </si>
  <si>
    <t>methomyl</t>
  </si>
  <si>
    <t>clorpyrifos</t>
  </si>
  <si>
    <t>thiamethoxan 33%</t>
  </si>
  <si>
    <t>thiamethoxan 35%</t>
  </si>
  <si>
    <t>fipronil 80%</t>
  </si>
  <si>
    <t>spinotoran, metoxifenoide</t>
  </si>
  <si>
    <t>biffentrina, thiamethoxan</t>
  </si>
  <si>
    <t>imidacloprid 35%</t>
  </si>
  <si>
    <t>color seed</t>
  </si>
  <si>
    <t>cipermethrin 25%</t>
  </si>
  <si>
    <t>aceite vegetal 53%</t>
  </si>
  <si>
    <t>flumioxazin 50 %</t>
  </si>
  <si>
    <t>thiodicard 80%</t>
  </si>
  <si>
    <t>fipronil 19% thiamethoxan 35%</t>
  </si>
  <si>
    <t>fludioxonil 25% metalaxyl 37%</t>
  </si>
  <si>
    <t xml:space="preserve">bradirhyzobium </t>
  </si>
  <si>
    <t>clorimuron 25%</t>
  </si>
  <si>
    <t>cominopyralid 46%</t>
  </si>
  <si>
    <t>bifenthrin5% novaluron 5%</t>
  </si>
  <si>
    <t>imazethapyr 10%</t>
  </si>
  <si>
    <t>zeta-cypermethrin 20%</t>
  </si>
  <si>
    <t>clorantraniliprole 20%</t>
  </si>
  <si>
    <t>thiran15%, carbendazin12%, carbofuran8%</t>
  </si>
  <si>
    <t>atrazina 90%</t>
  </si>
  <si>
    <t>lambda 5%</t>
  </si>
  <si>
    <t>chlorpyrifos 48%</t>
  </si>
  <si>
    <t>biffentrin 18% thiamethoxan 18%</t>
  </si>
  <si>
    <t>Agropartners</t>
  </si>
  <si>
    <t>PRECIOS UNITARIOS EN BS</t>
  </si>
  <si>
    <t>Precio/Kg , Bs</t>
  </si>
  <si>
    <t>Total Bs.</t>
  </si>
  <si>
    <t>A068</t>
  </si>
  <si>
    <t>A069</t>
  </si>
  <si>
    <t>Terrano Ultra</t>
  </si>
  <si>
    <t>Glifosato 54%</t>
  </si>
  <si>
    <t>Portento</t>
  </si>
  <si>
    <t>Benzuato 5%</t>
  </si>
  <si>
    <t>AGROSOIL</t>
  </si>
  <si>
    <t>PRECIO UNITARIO EN $</t>
  </si>
  <si>
    <t>TOTAL A PAGAR $</t>
  </si>
  <si>
    <t>TOTAL A PAGAR EN BS</t>
  </si>
  <si>
    <t xml:space="preserve">TOTAL PRECIOS EN BS </t>
  </si>
  <si>
    <t>TOTALES</t>
  </si>
  <si>
    <t>A070</t>
  </si>
  <si>
    <t>INSIAGRO</t>
  </si>
  <si>
    <t>Urea</t>
  </si>
  <si>
    <t>A071</t>
  </si>
  <si>
    <t>Vortis</t>
  </si>
  <si>
    <t>A072</t>
  </si>
  <si>
    <t>Navajo</t>
  </si>
  <si>
    <t>A073</t>
  </si>
  <si>
    <t>Talisman</t>
  </si>
  <si>
    <t>A074</t>
  </si>
  <si>
    <t>Jisaquel</t>
  </si>
  <si>
    <t>A075</t>
  </si>
  <si>
    <t>Cosmo oil</t>
  </si>
  <si>
    <t>AGROMILENIO</t>
  </si>
  <si>
    <t>A076</t>
  </si>
  <si>
    <t>A077</t>
  </si>
  <si>
    <t>Strobyn xtra</t>
  </si>
  <si>
    <t>Argento</t>
  </si>
  <si>
    <t>S05</t>
  </si>
  <si>
    <t>SEMILLA DE PASTO MOMBASA (20Kgs)</t>
  </si>
  <si>
    <t>MOMBASA</t>
  </si>
  <si>
    <t>kg</t>
  </si>
  <si>
    <t>A078</t>
  </si>
  <si>
    <t>Cupro</t>
  </si>
  <si>
    <t>A079</t>
  </si>
  <si>
    <t>A080</t>
  </si>
  <si>
    <t>A081</t>
  </si>
  <si>
    <t>Terrano Max</t>
  </si>
  <si>
    <t>Herbamex</t>
  </si>
  <si>
    <t>Galant</t>
  </si>
  <si>
    <t>Glifosato 75%</t>
  </si>
  <si>
    <t>2,4 D 72%</t>
  </si>
  <si>
    <t>Halaxifop</t>
  </si>
  <si>
    <t>Quelato de cobre</t>
  </si>
  <si>
    <t xml:space="preserve">Tebuconazole </t>
  </si>
  <si>
    <t>Azoxistrobin, cyproconazol</t>
  </si>
  <si>
    <t>Aceite vegetal</t>
  </si>
  <si>
    <t>Potasio</t>
  </si>
  <si>
    <t>Bifentrin 5% carbosulfan 15%</t>
  </si>
  <si>
    <t>Clorantraniliprole 70 %</t>
  </si>
  <si>
    <t>Thiametoxan 70%</t>
  </si>
  <si>
    <t xml:space="preserve">Nitrogeno </t>
  </si>
  <si>
    <t xml:space="preserve">SEMILLA SORGO IMPORT (20 kgs) </t>
  </si>
  <si>
    <t>A082</t>
  </si>
  <si>
    <t>A083</t>
  </si>
  <si>
    <t>A084</t>
  </si>
  <si>
    <t>A085</t>
  </si>
  <si>
    <t>Herbamine</t>
  </si>
  <si>
    <t>Lambda</t>
  </si>
  <si>
    <t>Power seed</t>
  </si>
  <si>
    <t>Rhinox</t>
  </si>
  <si>
    <t>Lambda 5%</t>
  </si>
  <si>
    <t>Thiodicard 45%+thiamethoxan15%</t>
  </si>
  <si>
    <t>Chlorantraniliprole 20%</t>
  </si>
  <si>
    <t>VERMONT</t>
  </si>
  <si>
    <t>S06</t>
  </si>
  <si>
    <t>Dekalb 520</t>
  </si>
  <si>
    <t>S07</t>
  </si>
  <si>
    <t>Cracka</t>
  </si>
  <si>
    <t>S08</t>
  </si>
  <si>
    <t>CVR-2738 VIP3</t>
  </si>
  <si>
    <t>Aminoacido</t>
  </si>
  <si>
    <t>Acido fulvico</t>
  </si>
  <si>
    <t>Tratamiento semilla</t>
  </si>
  <si>
    <t>Inoculante</t>
  </si>
  <si>
    <t>Aciete</t>
  </si>
  <si>
    <t>Devolucion de cabaña</t>
  </si>
  <si>
    <t>SEMILLA SORGO(20Kgs) Dekalb 520</t>
  </si>
  <si>
    <t>SEMILLA SORGO(20Kgs). Crackan</t>
  </si>
  <si>
    <t>SEMILLA DE MAIZ(558,5 Kgs.) CVR</t>
  </si>
  <si>
    <t>A086</t>
  </si>
  <si>
    <t>Karate zeon</t>
  </si>
  <si>
    <t xml:space="preserve">Lambda </t>
  </si>
  <si>
    <t>A087</t>
  </si>
  <si>
    <t>A088</t>
  </si>
  <si>
    <t>A089</t>
  </si>
  <si>
    <t>A090</t>
  </si>
  <si>
    <t>A091</t>
  </si>
  <si>
    <t>Terrazina</t>
  </si>
  <si>
    <t>Atrazina 50%</t>
  </si>
  <si>
    <t>Dinotop</t>
  </si>
  <si>
    <t>Dinotefuran 80%</t>
  </si>
  <si>
    <t>Valent</t>
  </si>
  <si>
    <t>Indoxacard</t>
  </si>
  <si>
    <t>Presea plus</t>
  </si>
  <si>
    <t>Corsair</t>
  </si>
  <si>
    <t>Azephato</t>
  </si>
  <si>
    <t>A092</t>
  </si>
  <si>
    <t>A093</t>
  </si>
  <si>
    <t>Selecron</t>
  </si>
  <si>
    <t>Tebuco</t>
  </si>
  <si>
    <t>Prosfenofos 50%</t>
  </si>
  <si>
    <t>Tebuconazole 43%</t>
  </si>
  <si>
    <t>DANKEN AGRO</t>
  </si>
  <si>
    <t>A094</t>
  </si>
  <si>
    <t>Secaforte</t>
  </si>
  <si>
    <t>Paraquat 20%</t>
  </si>
  <si>
    <t>A095</t>
  </si>
  <si>
    <t>A096</t>
  </si>
  <si>
    <t>A097</t>
  </si>
  <si>
    <t>A098</t>
  </si>
  <si>
    <t>A099</t>
  </si>
  <si>
    <t>A100</t>
  </si>
  <si>
    <t>A101</t>
  </si>
  <si>
    <t>Spider</t>
  </si>
  <si>
    <t>superamix</t>
  </si>
  <si>
    <t>azos</t>
  </si>
  <si>
    <t>phospro</t>
  </si>
  <si>
    <t>bio gain</t>
  </si>
  <si>
    <t>flumio max</t>
  </si>
  <si>
    <t>diclosulam</t>
  </si>
  <si>
    <t>2,4-D</t>
  </si>
  <si>
    <t>inoculante</t>
  </si>
  <si>
    <t>fertilizante</t>
  </si>
  <si>
    <t>litros</t>
  </si>
  <si>
    <t>kilos</t>
  </si>
  <si>
    <t>LITROS</t>
  </si>
  <si>
    <t>herbicida</t>
  </si>
  <si>
    <t>inoculante de soja</t>
  </si>
  <si>
    <t xml:space="preserve">AGROFER </t>
  </si>
  <si>
    <t>A102</t>
  </si>
  <si>
    <t>imidacropid</t>
  </si>
  <si>
    <t>A103</t>
  </si>
  <si>
    <t>A104</t>
  </si>
  <si>
    <t>A105</t>
  </si>
  <si>
    <t>Taurus</t>
  </si>
  <si>
    <t>Flocrop mn</t>
  </si>
  <si>
    <t>Triadamin</t>
  </si>
  <si>
    <t>Cloransulam 84%</t>
  </si>
  <si>
    <t>Manganeso</t>
  </si>
  <si>
    <t>Aminoacidos</t>
  </si>
  <si>
    <t>A106</t>
  </si>
  <si>
    <t>Ciplex</t>
  </si>
  <si>
    <t>Fertilizante foliar</t>
  </si>
  <si>
    <t>A107</t>
  </si>
  <si>
    <t>A108</t>
  </si>
  <si>
    <t>Tecnup Premiun</t>
  </si>
  <si>
    <t>Fomeflag 25</t>
  </si>
  <si>
    <t>Glifosato 62%</t>
  </si>
  <si>
    <t>AGROFER</t>
  </si>
  <si>
    <t>A109</t>
  </si>
  <si>
    <t>A110</t>
  </si>
  <si>
    <t>A111</t>
  </si>
  <si>
    <t>Glifodin max</t>
  </si>
  <si>
    <t>Dinomax</t>
  </si>
  <si>
    <t>Folcrop B</t>
  </si>
  <si>
    <t>glyfosate ammonium 72%</t>
  </si>
  <si>
    <t>dinotefuran 20% bifentrin 5%</t>
  </si>
  <si>
    <t>boro 13%</t>
  </si>
  <si>
    <t>A113</t>
  </si>
  <si>
    <t>A112</t>
  </si>
  <si>
    <t>A114</t>
  </si>
  <si>
    <t>Jisafol</t>
  </si>
  <si>
    <t>Oxido de potasio 27%</t>
  </si>
  <si>
    <t>A115</t>
  </si>
  <si>
    <t>Magnun</t>
  </si>
  <si>
    <t>Fipronil 80%</t>
  </si>
  <si>
    <t>Cosmo foliar</t>
  </si>
  <si>
    <t>A116</t>
  </si>
  <si>
    <t>A117</t>
  </si>
  <si>
    <t>A118</t>
  </si>
  <si>
    <t>Graminex</t>
  </si>
  <si>
    <t>Halaxifop 10%</t>
  </si>
  <si>
    <t>Pitbull</t>
  </si>
  <si>
    <t>Betacyfluthrin 125/gl</t>
  </si>
  <si>
    <t>Yeso Agricola</t>
  </si>
  <si>
    <t>Sulfato de calcio</t>
  </si>
  <si>
    <t>Enmienda</t>
  </si>
  <si>
    <t>LA CALERA</t>
  </si>
  <si>
    <t>Verano 2025 - 2026</t>
  </si>
  <si>
    <t>A119</t>
  </si>
  <si>
    <t>Viomax Pro</t>
  </si>
  <si>
    <t>Picoxystrobin 20% prothioconazole17,5%</t>
  </si>
  <si>
    <t>A120</t>
  </si>
  <si>
    <t>A121</t>
  </si>
  <si>
    <t>A122</t>
  </si>
  <si>
    <t>Gramon 24 ec</t>
  </si>
  <si>
    <t>Color</t>
  </si>
  <si>
    <t>Protector de semilla</t>
  </si>
  <si>
    <t>Bio  gain co-mo</t>
  </si>
  <si>
    <t>A123</t>
  </si>
  <si>
    <t>Malexone</t>
  </si>
  <si>
    <t>Paraquat 27%</t>
  </si>
  <si>
    <t xml:space="preserve">LA CALERA </t>
  </si>
  <si>
    <t>A124</t>
  </si>
  <si>
    <t>A125</t>
  </si>
  <si>
    <t>A126</t>
  </si>
  <si>
    <t>Pyton</t>
  </si>
  <si>
    <t>Glufosinato de amonio 20%</t>
  </si>
  <si>
    <t>Terrano 48</t>
  </si>
  <si>
    <t>Glifosato 48%</t>
  </si>
  <si>
    <t>Ochima</t>
  </si>
  <si>
    <t>Aceite</t>
  </si>
  <si>
    <t>A127</t>
  </si>
  <si>
    <t>A128</t>
  </si>
  <si>
    <t>Gusafos 48</t>
  </si>
  <si>
    <t>Radiflex</t>
  </si>
  <si>
    <t>AGROMILRNIO</t>
  </si>
  <si>
    <t>Sorgo</t>
  </si>
  <si>
    <t>Olimpo</t>
  </si>
  <si>
    <t>S09</t>
  </si>
  <si>
    <t>SEMILLA SOYA (40Kgs(SW 4795))</t>
  </si>
  <si>
    <t>SEMILLA DE SOYA(50 Kgs.(Olimpo)</t>
  </si>
  <si>
    <t>S10</t>
  </si>
  <si>
    <t>S11</t>
  </si>
  <si>
    <t>s05</t>
  </si>
  <si>
    <t>SEMILLA DE PASTO PIATA (20Kgs)</t>
  </si>
  <si>
    <t>SEMILLA DE PASTO RUFICIENCIS (20Kgs)</t>
  </si>
  <si>
    <t>PIATA</t>
  </si>
  <si>
    <t>RUFICIENCIS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</si>
  <si>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</si>
  <si>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</si>
  <si>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</si>
  <si>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</si>
  <si>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</si>
  <si>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</si>
  <si>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</si>
  <si>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</si>
  <si>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</si>
  <si>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</si>
  <si>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</si>
  <si>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</si>
  <si>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audaz</t>
  </si>
  <si>
    <t>total 75</t>
  </si>
  <si>
    <t>colax</t>
  </si>
  <si>
    <t>perla humica</t>
  </si>
  <si>
    <t>tebuco dkn 430</t>
  </si>
  <si>
    <t>Ema 300</t>
  </si>
  <si>
    <t xml:space="preserve">Clorfenapyr dkn </t>
  </si>
  <si>
    <t>Belico</t>
  </si>
  <si>
    <t>Inside nt</t>
  </si>
  <si>
    <t>Danken hard mix</t>
  </si>
  <si>
    <t>Totalquat</t>
  </si>
  <si>
    <t>Preludio</t>
  </si>
  <si>
    <t>metoxifenocide 24%</t>
  </si>
  <si>
    <t>glifosato 75%</t>
  </si>
  <si>
    <t>tebuconazzole 43%</t>
  </si>
  <si>
    <t>benzoato 30%</t>
  </si>
  <si>
    <t>clorfenapyr 72%</t>
  </si>
  <si>
    <t>diclosulam 84%</t>
  </si>
  <si>
    <t>insecticida</t>
  </si>
  <si>
    <t>funguicida</t>
  </si>
  <si>
    <t>DANKEN</t>
  </si>
  <si>
    <t>Paraquat</t>
  </si>
  <si>
    <t>s08</t>
  </si>
  <si>
    <t>A141</t>
  </si>
  <si>
    <t>A142</t>
  </si>
  <si>
    <t>A143</t>
  </si>
  <si>
    <t>A144</t>
  </si>
  <si>
    <t>A145</t>
  </si>
  <si>
    <t>Harvestol e plus</t>
  </si>
  <si>
    <t>Amino 80</t>
  </si>
  <si>
    <t>Algamas</t>
  </si>
  <si>
    <t>Zinatra dkn</t>
  </si>
  <si>
    <t>aceite mineral</t>
  </si>
  <si>
    <t xml:space="preserve">aminoacidos </t>
  </si>
  <si>
    <t>estracto de algas natural</t>
  </si>
  <si>
    <t>atrazina</t>
  </si>
  <si>
    <t>bioestimulante</t>
  </si>
  <si>
    <t>AGROPARTNERS</t>
  </si>
  <si>
    <t>A146</t>
  </si>
  <si>
    <t>Forcrop k35</t>
  </si>
  <si>
    <t>A147</t>
  </si>
  <si>
    <t>A148</t>
  </si>
  <si>
    <t>Fosafem</t>
  </si>
  <si>
    <t>Zitron</t>
  </si>
  <si>
    <t>zin 80%</t>
  </si>
  <si>
    <t>Soya</t>
  </si>
  <si>
    <t>A149</t>
  </si>
  <si>
    <t>A150</t>
  </si>
  <si>
    <t>A151</t>
  </si>
  <si>
    <t>A152</t>
  </si>
  <si>
    <t>A153</t>
  </si>
  <si>
    <t>A154</t>
  </si>
  <si>
    <t>A155</t>
  </si>
  <si>
    <t>A156</t>
  </si>
  <si>
    <t>Covertor</t>
  </si>
  <si>
    <t>Matarex duo</t>
  </si>
  <si>
    <t>Roundup</t>
  </si>
  <si>
    <t>Tijereta platinum</t>
  </si>
  <si>
    <t>Ciclet 24 ec</t>
  </si>
  <si>
    <t>Biolicitor cobre</t>
  </si>
  <si>
    <t>Silwet</t>
  </si>
  <si>
    <t>Hoprole</t>
  </si>
  <si>
    <t>bifenthrin18% thiamethoxan15%</t>
  </si>
  <si>
    <t>glifosato 54%</t>
  </si>
  <si>
    <t>cobre 4,3%</t>
  </si>
  <si>
    <t>indoxacard 23%</t>
  </si>
  <si>
    <t>AGRODINAMICA</t>
  </si>
  <si>
    <t>Nuprid 70</t>
  </si>
  <si>
    <t>A157</t>
  </si>
  <si>
    <t>Proan</t>
  </si>
  <si>
    <t>NPK boro 3%</t>
  </si>
  <si>
    <t>Acaricida</t>
  </si>
  <si>
    <t>A160</t>
  </si>
  <si>
    <t>A159</t>
  </si>
  <si>
    <t>A158</t>
  </si>
  <si>
    <t>Regulador de agua</t>
  </si>
  <si>
    <t>Wipeout 88</t>
  </si>
  <si>
    <t>Glifosato 88%</t>
  </si>
  <si>
    <t>A161</t>
  </si>
  <si>
    <t>Puzate</t>
  </si>
  <si>
    <t>Imazethapyr 70%</t>
  </si>
  <si>
    <t>Zapit</t>
  </si>
  <si>
    <t>Acetamiprid</t>
  </si>
  <si>
    <t>Cosmo agua</t>
  </si>
  <si>
    <t>A162</t>
  </si>
  <si>
    <t>A163</t>
  </si>
  <si>
    <t>A164</t>
  </si>
  <si>
    <t>fungibin max 32</t>
  </si>
  <si>
    <t>agrothryn</t>
  </si>
  <si>
    <t>capaz 50 sc</t>
  </si>
  <si>
    <t>azoxystrobin+cyproconazole</t>
  </si>
  <si>
    <t>fungicida</t>
  </si>
  <si>
    <t>biffentrin 10%</t>
  </si>
  <si>
    <t>sulfentrazone 50%</t>
  </si>
  <si>
    <t>A165</t>
  </si>
  <si>
    <t>cosmo in</t>
  </si>
  <si>
    <t>A166</t>
  </si>
  <si>
    <t>oleo vegetal</t>
  </si>
  <si>
    <t>A167</t>
  </si>
  <si>
    <t>avanti extra 50</t>
  </si>
  <si>
    <t>A168</t>
  </si>
  <si>
    <t>mancoparts</t>
  </si>
  <si>
    <t>aceite vegetal</t>
  </si>
  <si>
    <t>difenconazole25%+propiconazole25%</t>
  </si>
  <si>
    <t>mancozeb80%</t>
  </si>
  <si>
    <t>Campaña</t>
  </si>
  <si>
    <t>Lote</t>
  </si>
  <si>
    <t>Tipo Cultivo</t>
  </si>
  <si>
    <t>Sup. Ha.</t>
  </si>
  <si>
    <t>Fecha Ejecucion</t>
  </si>
  <si>
    <t>Motivo de actividad</t>
  </si>
  <si>
    <t>CodigoProducto</t>
  </si>
  <si>
    <t>Dosis</t>
  </si>
  <si>
    <t>UnidadDosis</t>
  </si>
  <si>
    <t>UnidadTotal</t>
  </si>
  <si>
    <t>Contratista</t>
  </si>
  <si>
    <t>Maquina</t>
  </si>
  <si>
    <t>RFN</t>
  </si>
  <si>
    <t>Lt/Ha</t>
  </si>
  <si>
    <t>Lt</t>
  </si>
  <si>
    <t>Propio</t>
  </si>
  <si>
    <t>Uniport</t>
  </si>
  <si>
    <t>RCNN</t>
  </si>
  <si>
    <t>Planilla de control de salida de Agroquimicos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</si>
</sst>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_-* #,##0.0\ _€_-;\-* #,##0.0\ _€_-;_-* &quot;-&quot;?\ _€_-;_-@_-"/>
    <numFmt numFmtId="167" formatCode="#,##0.0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3" fillId="0" borderId="0" xfId="1" applyFont="1"/>
    <xf numFmtId="0" fontId="0" fillId="0" borderId="0" xfId="0" applyAlignment="1">
      <alignment horizontal="center" vertical="center"/>
    </xf>
    <xf numFmtId="0" fontId="0" fillId="0" borderId="4" xfId="0" applyBorder="1"/>
    <xf numFmtId="14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10" fillId="2" borderId="9" xfId="0" applyNumberFormat="1" applyFont="1" applyFill="1" applyBorder="1"/>
    <xf numFmtId="0" fontId="10" fillId="2" borderId="10" xfId="0" applyFont="1" applyFill="1" applyBorder="1"/>
    <xf numFmtId="0" fontId="10" fillId="0" borderId="10" xfId="0" applyFont="1" applyBorder="1"/>
    <xf numFmtId="0" fontId="10" fillId="0" borderId="11" xfId="0" applyFont="1" applyBorder="1"/>
    <xf numFmtId="2" fontId="10" fillId="0" borderId="3" xfId="0" applyNumberFormat="1" applyFont="1" applyBorder="1"/>
    <xf numFmtId="0" fontId="10" fillId="0" borderId="4" xfId="0" applyFont="1" applyBorder="1"/>
    <xf numFmtId="0" fontId="10" fillId="0" borderId="5" xfId="0" applyFont="1" applyBorder="1"/>
    <xf numFmtId="2" fontId="10" fillId="2" borderId="3" xfId="0" applyNumberFormat="1" applyFont="1" applyFill="1" applyBorder="1"/>
    <xf numFmtId="0" fontId="10" fillId="2" borderId="4" xfId="0" applyFont="1" applyFill="1" applyBorder="1"/>
    <xf numFmtId="0" fontId="10" fillId="0" borderId="6" xfId="0" applyFont="1" applyBorder="1"/>
    <xf numFmtId="0" fontId="10" fillId="0" borderId="7" xfId="0" applyFont="1" applyBorder="1"/>
    <xf numFmtId="166" fontId="3" fillId="0" borderId="12" xfId="1" applyNumberFormat="1" applyFont="1" applyBorder="1"/>
    <xf numFmtId="0" fontId="10" fillId="0" borderId="1" xfId="0" applyFont="1" applyBorder="1" applyAlignment="1">
      <alignment horizontal="center" vertical="center"/>
    </xf>
    <xf numFmtId="2" fontId="0" fillId="0" borderId="3" xfId="0" applyNumberFormat="1" applyBorder="1"/>
    <xf numFmtId="2" fontId="0" fillId="0" borderId="14" xfId="0" applyNumberFormat="1" applyBorder="1"/>
    <xf numFmtId="0" fontId="0" fillId="0" borderId="6" xfId="0" applyBorder="1"/>
    <xf numFmtId="0" fontId="11" fillId="0" borderId="4" xfId="1" applyFont="1" applyBorder="1"/>
    <xf numFmtId="0" fontId="11" fillId="0" borderId="6" xfId="1" applyFont="1" applyBorder="1"/>
    <xf numFmtId="0" fontId="11" fillId="0" borderId="7" xfId="1" applyFont="1" applyBorder="1"/>
    <xf numFmtId="166" fontId="3" fillId="0" borderId="13" xfId="1" applyNumberFormat="1" applyFont="1" applyBorder="1"/>
    <xf numFmtId="4" fontId="0" fillId="0" borderId="0" xfId="0" applyNumberFormat="1"/>
    <xf numFmtId="0" fontId="6" fillId="0" borderId="15" xfId="1" applyFont="1" applyBorder="1"/>
    <xf numFmtId="165" fontId="11" fillId="0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2" fontId="11" fillId="0" borderId="14" xfId="0" applyNumberFormat="1" applyFont="1" applyBorder="1"/>
    <xf numFmtId="0" fontId="11" fillId="0" borderId="6" xfId="0" applyFont="1" applyBorder="1"/>
    <xf numFmtId="0" fontId="11" fillId="0" borderId="7" xfId="0" applyFont="1" applyBorder="1"/>
    <xf numFmtId="4" fontId="10" fillId="0" borderId="2" xfId="0" applyNumberFormat="1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166" fontId="3" fillId="0" borderId="13" xfId="0" applyNumberFormat="1" applyFont="1" applyBorder="1"/>
    <xf numFmtId="4" fontId="3" fillId="0" borderId="1" xfId="1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vertical="center"/>
    </xf>
    <xf numFmtId="167" fontId="10" fillId="0" borderId="1" xfId="1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4" fontId="0" fillId="0" borderId="4" xfId="0" applyNumberFormat="1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0" fontId="10" fillId="0" borderId="6" xfId="1" applyFont="1" applyBorder="1"/>
    <xf numFmtId="0" fontId="11" fillId="0" borderId="5" xfId="1" applyFont="1" applyBorder="1"/>
    <xf numFmtId="166" fontId="3" fillId="0" borderId="8" xfId="1" applyNumberFormat="1" applyFont="1" applyBorder="1"/>
    <xf numFmtId="0" fontId="10" fillId="0" borderId="0" xfId="0" applyFont="1"/>
    <xf numFmtId="4" fontId="10" fillId="0" borderId="1" xfId="0" applyNumberFormat="1" applyFont="1" applyBorder="1" applyAlignment="1">
      <alignment horizontal="center" vertical="center"/>
    </xf>
    <xf numFmtId="4" fontId="10" fillId="0" borderId="8" xfId="0" applyNumberFormat="1" applyFont="1" applyBorder="1" applyAlignment="1">
      <alignment horizontal="center" vertical="center"/>
    </xf>
    <xf numFmtId="0" fontId="14" fillId="0" borderId="0" xfId="0" applyFont="1"/>
    <xf numFmtId="4" fontId="0" fillId="0" borderId="0" xfId="0" applyNumberFormat="1" applyAlignment="1">
      <alignment vertical="center"/>
    </xf>
    <xf numFmtId="2" fontId="0" fillId="0" borderId="0" xfId="0" applyNumberFormat="1"/>
    <xf numFmtId="0" fontId="0" fillId="0" borderId="14" xfId="0" applyBorder="1"/>
    <xf numFmtId="4" fontId="10" fillId="0" borderId="8" xfId="1" applyNumberFormat="1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/>
    <xf numFmtId="4" fontId="0" fillId="0" borderId="0" xfId="0" applyNumberFormat="1" applyBorder="1" applyAlignment="1"/>
    <xf numFmtId="0" fontId="8" fillId="0" borderId="0" xfId="0" applyFont="1" applyAlignment="1"/>
    <xf numFmtId="0" fontId="9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</cellXfs>
  <cellStyles count="4">
    <cellStyle name="Hipervínculo 2" xfId="3" xr:uid="{00000000-0005-0000-0000-000000000000}"/>
    <cellStyle name="Millares 2" xfId="2" xr:uid="{00000000-0005-0000-0000-000001000000}"/>
    <cellStyle name="Normal" xfId="0" builtinId="0"/>
    <cellStyle name="Normal 3" xfId="1" xr:uid="{00000000-0005-0000-0000-000003000000}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4" formatCode="#,##0.00"/>
      <alignment horizontal="general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0" formatCode="General"/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/>
        </top>
        <bottom style="thin">
          <color theme="4" tint="0.39997558519241921"/>
        </bottom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alignment horizontal="general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_-* #,##0.0\ _€_-;\-* #,##0.0\ _€_-;_-* &quot;-&quot;?\ _€_-;_-@_-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_-* #,##0.0\ _€_-;\-* #,##0.0\ _€_-;_-* &quot;-&quot;?\ _€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#,##0.0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#,##0.0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" formatCode="0.0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tiago\Downloads\planilla-de-excel-para-el-aplicativo-de-compras-y-vent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TACURAL%20VERANO%202024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TACURAL VERANO 2024-2025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48C7E-A42D-4D48-837F-5F5A26A328B2}" name="INV.AGROQUIMICOS" displayName="INV.AGROQUIMICOS" ref="A4:K173" totalsRowCount="1" headerRowDxfId="53" tableBorderDxfId="52">
  <autoFilter ref="A4:K172" xr:uid="{25C48C7E-A42D-4D48-837F-5F5A26A328B2}"/>
  <sortState xmlns:xlrd2="http://schemas.microsoft.com/office/spreadsheetml/2017/richdata2" ref="A89:K89">
    <sortCondition descending="1" ref="B4:B110"/>
  </sortState>
  <tableColumns count="11">
    <tableColumn id="1" xr3:uid="{B1384ED9-EB7F-42A8-80BB-F9A500A99DE8}" name="CODIGO" dataDxfId="51" totalsRowDxfId="50"/>
    <tableColumn id="2" xr3:uid="{1B97BE9D-AFBF-4864-9318-616D08EB0395}" name="NOMBRE PRODUCTOS" dataDxfId="49" totalsRowDxfId="48"/>
    <tableColumn id="8" xr3:uid="{544C5059-9680-4745-82D0-4C70E2C758F9}" name="PRINCIPIO ACTIVO" dataDxfId="47" totalsRowDxfId="46"/>
    <tableColumn id="3" xr3:uid="{0E14CC63-EA44-4158-BE8F-FE33179B44F9}" name="UNIDAD MEDIDA LT. KG." dataDxfId="45" totalsRowDxfId="44"/>
    <tableColumn id="4" xr3:uid="{89532FAB-E38E-4A6B-9E66-7CFFA4737FEF}" name="CATEGORIA DE PRODUCTO" totalsRowLabel="TOTALES" dataDxfId="43" totalsRowDxfId="42"/>
    <tableColumn id="5" xr3:uid="{B40615D0-1783-41F6-9177-24D7C47BCCAF}" name="ENTRADAS " totalsRowFunction="sum" dataDxfId="41" totalsRowDxfId="40" dataCellStyle="Millares 2">
      <calculatedColumnFormula>SUMIF(ING.ABROQUIMICOS[CODIGO],A4:A65,ING.ABROQUIMICOS[CANTIDAD])</calculatedColumnFormula>
    </tableColumn>
    <tableColumn id="6" xr3:uid="{B66A91D2-678B-4A14-94B4-D385E969D238}" name="SALIDAS" totalsRowFunction="sum" dataDxfId="39" totalsRowDxfId="38" dataCellStyle="Millares 2">
      <calculatedColumnFormula>SUMIF(SAL.AGROQUIMICOS[CodigoProducto],A4:A65,SAL.AGROQUIMICOS[Dosis])</calculatedColumnFormula>
    </tableColumn>
    <tableColumn id="7" xr3:uid="{DC6B0B14-7735-49A4-BD1C-406B23942EF6}" name="STOCK ACTUAL" totalsRowFunction="sum" dataDxfId="37" totalsRowDxfId="36">
      <calculatedColumnFormula>INV.AGROQUIMICOS[[#This Row],[ENTRADAS ]]-INV.AGROQUIMICOS[[#This Row],[SALIDAS]]</calculatedColumnFormula>
    </tableColumn>
    <tableColumn id="9" xr3:uid="{EF781622-E726-44B0-81DC-F0C88B1AD55F}" name="PRECIOS UNITARIOS EN BS" totalsRowFunction="sum" dataDxfId="35" totalsRowDxfId="34"/>
    <tableColumn id="11" xr3:uid="{105BF5C8-7758-423C-8E18-A91DCBC00412}" name="TOTAL PRECIOS EN BS " totalsRowFunction="sum" dataDxfId="33" totalsRowDxfId="32" dataCellStyle="Normal 3">
      <calculatedColumnFormula>INV.AGROQUIMICOS[[#This Row],[STOCK ACTUAL]]*INV.AGROQUIMICOS[[#This Row],[PRECIOS UNITARIOS EN BS]]</calculatedColumnFormula>
    </tableColumn>
    <tableColumn id="10" xr3:uid="{74354C68-1974-4795-B662-51F4414ED35B}" name="OBSERVACIONES" dataDxfId="31" totalsRowDxfId="30" dataCellStyle="Normal 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3BBABD-314D-4EC5-A318-FD3CBB18FEE6}" name="SEMILLA" displayName="SEMILLA" ref="A3:M14" totalsRowShown="0" headerRowDxfId="29" headerRowCellStyle="Normal" dataCellStyle="Normal">
  <autoFilter ref="A3:M14" xr:uid="{BB3BBABD-314D-4EC5-A318-FD3CBB18FEE6}"/>
  <tableColumns count="13">
    <tableColumn id="1" xr3:uid="{A45E5C37-37D3-4813-945B-10713951AEE6}" name="CODIGO" dataCellStyle="Normal"/>
    <tableColumn id="2" xr3:uid="{FAD0BBB6-4537-44A4-9D71-BCF5549AABF1}" name="TIPO SEMILLA" dataCellStyle="Normal"/>
    <tableColumn id="3" xr3:uid="{3E5372FC-83EE-4AD9-942D-6F257F99423E}" name="VARIEDAD" dataCellStyle="Normal"/>
    <tableColumn id="4" xr3:uid="{D54EB6C3-608D-4B63-91C0-3D5AB281FFE7}" name="UNIDAD" dataCellStyle="Normal"/>
    <tableColumn id="5" xr3:uid="{8F5FF55D-E451-47AE-8537-ED37EA5DF0D2}" name="ENTRADAS " dataCellStyle="Normal">
      <calculatedColumnFormula>SUMIF(ING.SEMILLA[CODIGO],A4:A69,ING.SEMILLA[CANTIDAD BOLSAS])</calculatedColumnFormula>
    </tableColumn>
    <tableColumn id="9" xr3:uid="{05E4A9B4-A621-4F46-807F-140BB062B09C}" name="TOTAL KG.">
      <calculatedColumnFormula>SUMIF(ING.SEMILLA[ARTICULO],B4:B69,ING.SEMILLA[TOTAL KG.])</calculatedColumnFormula>
    </tableColumn>
    <tableColumn id="6" xr3:uid="{7B6CE069-9164-46E0-9C09-F3BB3704A6E9}" name="SALIDAS BOLSA" dataDxfId="28" dataCellStyle="Normal">
      <calculatedColumnFormula>SUMIF(#REF!,A4:A67,#REF!)</calculatedColumnFormula>
    </tableColumn>
    <tableColumn id="11" xr3:uid="{AAC6CE48-1F5B-444D-948E-20B012153C5F}" name="SALIDA KG" dataDxfId="27">
      <calculatedColumnFormula>SUMIF(#REF!,B4:B67,#REF!)</calculatedColumnFormula>
    </tableColumn>
    <tableColumn id="10" xr3:uid="{6FD1DA60-A6E9-438F-82C3-08EBFE801F76}" name="STOCK BOLSA" dataDxfId="26">
      <calculatedColumnFormula>+SEMILLA[[#This Row],[ENTRADAS ]]-SEMILLA[[#This Row],[SALIDAS BOLSA]]</calculatedColumnFormula>
    </tableColumn>
    <tableColumn id="7" xr3:uid="{51FF18D3-B1F8-40CD-8ED5-4042D9CA1A87}" name="STOCK KG." dataDxfId="25" dataCellStyle="Normal">
      <calculatedColumnFormula>+SEMILLA[[#This Row],[TOTAL KG.]]-SEMILLA[[#This Row],[SALIDA KG]]</calculatedColumnFormula>
    </tableColumn>
    <tableColumn id="8" xr3:uid="{AFA739F0-970A-4595-BEF9-2F157EAA834F}" name="PRECIO UNITARIO EN $" dataDxfId="24" dataCellStyle="Normal"/>
    <tableColumn id="12" xr3:uid="{651EF4EC-A0EA-4F9D-A000-39793900D20C}" name="TOTAL A PAGAR $" dataDxfId="23" dataCellStyle="Normal">
      <calculatedColumnFormula>SEMILLA[[#This Row],[ENTRADAS ]]*SEMILLA[[#This Row],[PRECIO UNITARIO EN $]]</calculatedColumnFormula>
    </tableColumn>
    <tableColumn id="13" xr3:uid="{0899265D-E076-45C1-BB65-FEF9E120D139}" name="TOTAL A PAGAR EN BS" dataDxfId="22" dataCellStyle="Normal">
      <calculatedColumnFormula>SEMILLA[[#This Row],[TOTAL A PAGAR $]]*6.96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456315-00C5-4D76-B410-676658BA505F}" name="SAL.AGROQUIMICOS" displayName="SAL.AGROQUIMICOS" ref="H3:R6" totalsRowShown="0" headerRowDxfId="0" headerRowBorderDxfId="1" tableBorderDxfId="21">
  <autoFilter ref="H3:R6" xr:uid="{79456315-00C5-4D76-B410-676658BA505F}"/>
  <tableColumns count="11">
    <tableColumn id="1" xr3:uid="{50FE7F03-829C-4078-A677-4A938CAA6EEC}" name="CodigoProducto" dataDxfId="20"/>
    <tableColumn id="2" xr3:uid="{A02784F5-820B-492A-B869-8A89B12A219D}" name="Produto" dataDxfId="19">
      <calculatedColumnFormula>IFERROR(VLOOKUP([2]!Tabla3[[#This Row],[CODIGO]],[2]!Tabla1[#Data],2,FALSE),"NO EXIXTE")</calculatedColumnFormula>
    </tableColumn>
    <tableColumn id="3" xr3:uid="{BF083B5B-CC9C-40F9-B078-7332C8E9742E}" name="Cant. Hectáreas "/>
    <tableColumn id="4" xr3:uid="{BD79F34A-CC1B-4F99-88B1-321A8F314ACC}" name="Dosis" dataDxfId="18"/>
    <tableColumn id="9" xr3:uid="{35879E32-BE29-41C8-90E2-359D554C5EC0}" name="UnidadDosis" dataDxfId="5"/>
    <tableColumn id="10" xr3:uid="{F3F9DB60-BB7E-4C58-9FF4-DDE19B27BDE1}" name="Total Producto" dataDxfId="3">
      <calculatedColumnFormula>+SAL.AGROQUIMICOS[[#This Row],[Dosis]]*SAL.AGROQUIMICOS[[#This Row],[Cant. Hectáreas ]]</calculatedColumnFormula>
    </tableColumn>
    <tableColumn id="11" xr3:uid="{9DEB3F70-F6E8-4FF6-AA15-16AEC1A24AB6}" name="UnidadTotal" dataDxfId="4"/>
    <tableColumn id="7" xr3:uid="{06D0705D-732B-4770-A0DF-F5E393088019}" name="Precio/Kg , Bs" dataDxfId="17"/>
    <tableColumn id="8" xr3:uid="{EF0E78AC-36AA-4CF6-891A-094D2FD5D692}" name="Total Bs." dataDxfId="2">
      <calculatedColumnFormula>+SAL.AGROQUIMICOS[[#This Row],[Precio/Kg , Bs]]*SAL.AGROQUIMICOS[[#This Row],[Total Producto]]</calculatedColumnFormula>
    </tableColumn>
    <tableColumn id="5" xr3:uid="{EFD4E87F-B18F-48D7-B5B6-08455F286F68}" name="Contratista"/>
    <tableColumn id="6" xr3:uid="{D430899E-80D1-43D1-B53C-7DE90D2BCD77}" name="Maquin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58FF96-A4E6-4455-AFED-1828DBB58460}" name="ING.ABROQUIMICOS" displayName="ING.ABROQUIMICOS" ref="A4:E324" totalsRowShown="0" headerRowDxfId="16" headerRowBorderDxfId="15" tableBorderDxfId="14">
  <autoFilter ref="A4:E324" xr:uid="{5758FF96-A4E6-4455-AFED-1828DBB58460}"/>
  <tableColumns count="5">
    <tableColumn id="1" xr3:uid="{1028C1B1-03A0-42B7-A150-B2BD17A2D45D}" name="CODIGO" dataDxfId="13"/>
    <tableColumn id="2" xr3:uid="{4000BCD5-63D4-4AFE-9FD0-D4614416AF27}" name="ARTICULO" dataDxfId="12">
      <calculatedColumnFormula>IFERROR(VLOOKUP(ING.ABROQUIMICOS[[#This Row],[CODIGO]],INV.AGROQUIMICOS[],2,FALSE),"NO EXISTE")</calculatedColumnFormula>
    </tableColumn>
    <tableColumn id="3" xr3:uid="{AC6CC739-2716-4C34-897C-8C1587352C3A}" name="FECHA" dataDxfId="11"/>
    <tableColumn id="4" xr3:uid="{847CCA61-2AB6-43C6-8D16-691AFECE464D}" name="CANTIDAD" dataDxfId="10"/>
    <tableColumn id="5" xr3:uid="{6597FCD6-3880-42A0-883C-3CCE70554439}" name="PROVEEDOR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11F1A6-A637-4DDD-90DD-F98ACFA7095F}" name="ING.SEMILLA" displayName="ING.SEMILLA" ref="G4:N26" totalsRowShown="0" headerRowCellStyle="Normal" dataCellStyle="Normal">
  <autoFilter ref="G4:N26" xr:uid="{4311F1A6-A637-4DDD-90DD-F98ACFA7095F}"/>
  <tableColumns count="8">
    <tableColumn id="1" xr3:uid="{6010E4EB-E0FF-40F7-8AB7-75B34E556F01}" name="CODIGO" dataCellStyle="Normal"/>
    <tableColumn id="2" xr3:uid="{ABC9E20A-9351-4EE3-8EF8-0C247F29D766}" name="ARTICULO" dataCellStyle="Normal">
      <calculatedColumnFormula>IFERROR(VLOOKUP(ING.SEMILLA[[#This Row],[CODIGO]],SEMILLA[],2,FALSE),"NO EXISTE")</calculatedColumnFormula>
    </tableColumn>
    <tableColumn id="3" xr3:uid="{B5E6799B-2F38-46D3-9CB4-C5AF6F8A4796}" name="FECHA" dataCellStyle="Normal"/>
    <tableColumn id="4" xr3:uid="{47781A99-7889-495E-9F3F-C43CDCCB603E}" name="CANTIDAD BOLSAS" dataCellStyle="Normal"/>
    <tableColumn id="8" xr3:uid="{71E1496D-05FA-4283-B097-1EF6536884B4}" name="TOTAL KG." dataDxfId="8">
      <calculatedColumnFormula>+ING.SEMILLA[[#This Row],[CANTIDAD BOLSAS]]*40</calculatedColumnFormula>
    </tableColumn>
    <tableColumn id="6" xr3:uid="{89825DAF-1DD0-40CC-BD07-A204EC3F2344}" name="PRECIO KG" dataDxfId="7"/>
    <tableColumn id="7" xr3:uid="{763EF8FE-01AF-48D8-92EA-9B9327C688D6}" name="TOTAL BS" dataDxfId="6">
      <calculatedColumnFormula>ING.SEMILLA[[#This Row],[TOTAL KG.]]*ING.SEMILLA[[#This Row],[PRECIO KG]]</calculatedColumnFormula>
    </tableColumn>
    <tableColumn id="5" xr3:uid="{94BC15B4-39BA-42FF-A51E-362CB06562C4}" name="PROVEEDOR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"/>
  <sheetViews>
    <sheetView showGridLines="0" topLeftCell="A12" zoomScale="90" zoomScaleNormal="90" workbookViewId="0">
      <selection activeCell="A9" sqref="A9"/>
    </sheetView>
  </sheetViews>
  <sheetFormatPr baseColWidth="10" defaultColWidth="9.140625" defaultRowHeight="12.75" x14ac:dyDescent="0.2"/>
  <cols>
    <col min="1" max="1" width="13.140625" style="1" customWidth="1"/>
    <col min="2" max="3" width="25.7109375" style="1" customWidth="1"/>
    <col min="4" max="4" width="20.85546875" style="1" customWidth="1"/>
    <col min="5" max="5" width="30.5703125" style="1" customWidth="1"/>
    <col min="6" max="7" width="13.85546875" style="1" customWidth="1"/>
    <col min="8" max="8" width="27.140625" style="1" customWidth="1"/>
    <col min="9" max="9" width="17.42578125" style="1" customWidth="1"/>
    <col min="10" max="10" width="18.5703125" style="1" customWidth="1"/>
    <col min="11" max="11" width="35.28515625" style="1" customWidth="1"/>
    <col min="12" max="12" width="9.140625" style="1"/>
    <col min="13" max="13" width="22.42578125" style="1" customWidth="1"/>
    <col min="14" max="16384" width="9.140625" style="1"/>
  </cols>
  <sheetData>
    <row r="1" spans="1:15" ht="9.6" customHeight="1" x14ac:dyDescent="0.2"/>
    <row r="2" spans="1:15" ht="24" customHeight="1" x14ac:dyDescent="0.2">
      <c r="A2" s="61" t="s">
        <v>81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5" ht="24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</row>
    <row r="4" spans="1:15" ht="45" customHeight="1" x14ac:dyDescent="0.2">
      <c r="A4" s="7" t="s">
        <v>82</v>
      </c>
      <c r="B4" s="8" t="s">
        <v>177</v>
      </c>
      <c r="C4" s="8" t="s">
        <v>193</v>
      </c>
      <c r="D4" s="8" t="s">
        <v>178</v>
      </c>
      <c r="E4" s="7" t="s">
        <v>179</v>
      </c>
      <c r="F4" s="7" t="s">
        <v>79</v>
      </c>
      <c r="G4" s="7" t="s">
        <v>80</v>
      </c>
      <c r="H4" s="7" t="s">
        <v>180</v>
      </c>
      <c r="I4" s="8" t="s">
        <v>259</v>
      </c>
      <c r="J4" s="8" t="s">
        <v>272</v>
      </c>
      <c r="K4" s="7" t="s">
        <v>173</v>
      </c>
    </row>
    <row r="5" spans="1:15" ht="15.75" x14ac:dyDescent="0.25">
      <c r="A5" s="9" t="s">
        <v>12</v>
      </c>
      <c r="B5" s="10" t="s">
        <v>8</v>
      </c>
      <c r="C5" s="10" t="s">
        <v>194</v>
      </c>
      <c r="D5" s="11" t="s">
        <v>150</v>
      </c>
      <c r="E5" s="12" t="s">
        <v>152</v>
      </c>
      <c r="F5" s="31">
        <f>SUMIF(ING.ABROQUIMICOS[CODIGO],A4:A65,ING.ABROQUIMICOS[CANTIDAD])</f>
        <v>1305.5</v>
      </c>
      <c r="G5" s="31">
        <f>SUMIF(SAL.AGROQUIMICOS[CodigoProducto],A4:A65,SAL.AGROQUIMICOS[Dosis])</f>
        <v>0</v>
      </c>
      <c r="H5" s="21">
        <f>INV.AGROQUIMICOS[[#This Row],[ENTRADAS ]]-INV.AGROQUIMICOS[[#This Row],[SALIDAS]]</f>
        <v>1305.5</v>
      </c>
      <c r="I5" s="21">
        <v>66.12</v>
      </c>
      <c r="J5" s="43">
        <f>INV.AGROQUIMICOS[[#This Row],[STOCK ACTUAL]]*INV.AGROQUIMICOS[[#This Row],[PRECIOS UNITARIOS EN BS]]</f>
        <v>86319.66</v>
      </c>
      <c r="K5" s="30"/>
      <c r="M5"/>
      <c r="N5"/>
      <c r="O5"/>
    </row>
    <row r="6" spans="1:15" ht="15.75" x14ac:dyDescent="0.25">
      <c r="A6" s="13" t="s">
        <v>13</v>
      </c>
      <c r="B6" s="14" t="s">
        <v>92</v>
      </c>
      <c r="C6" s="14" t="s">
        <v>195</v>
      </c>
      <c r="D6" s="14" t="s">
        <v>150</v>
      </c>
      <c r="E6" s="15" t="s">
        <v>152</v>
      </c>
      <c r="F6" s="31">
        <f>SUMIF(ING.ABROQUIMICOS[CODIGO],A5:A66,ING.ABROQUIMICOS[CANTIDAD])</f>
        <v>220</v>
      </c>
      <c r="G6" s="31">
        <f>SUMIF(SAL.AGROQUIMICOS[CodigoProducto],A5:A66,SAL.AGROQUIMICOS[Dosis])</f>
        <v>0</v>
      </c>
      <c r="H6" s="21">
        <f>INV.AGROQUIMICOS[[#This Row],[ENTRADAS ]]-INV.AGROQUIMICOS[[#This Row],[SALIDAS]]</f>
        <v>220</v>
      </c>
      <c r="I6" s="21">
        <v>106.14</v>
      </c>
      <c r="J6" s="43">
        <f>INV.AGROQUIMICOS[[#This Row],[STOCK ACTUAL]]*INV.AGROQUIMICOS[[#This Row],[PRECIOS UNITARIOS EN BS]]</f>
        <v>23350.799999999999</v>
      </c>
      <c r="K6" s="20"/>
      <c r="M6"/>
      <c r="N6"/>
      <c r="O6"/>
    </row>
    <row r="7" spans="1:15" ht="15.75" x14ac:dyDescent="0.25">
      <c r="A7" s="16" t="s">
        <v>14</v>
      </c>
      <c r="B7" s="17" t="s">
        <v>93</v>
      </c>
      <c r="C7" s="17" t="s">
        <v>196</v>
      </c>
      <c r="D7" s="14" t="s">
        <v>150</v>
      </c>
      <c r="E7" s="15" t="s">
        <v>335</v>
      </c>
      <c r="F7" s="31">
        <f>SUMIF(ING.ABROQUIMICOS[CODIGO],A6:A67,ING.ABROQUIMICOS[CANTIDAD])</f>
        <v>124.9</v>
      </c>
      <c r="G7" s="31">
        <f>SUMIF(SAL.AGROQUIMICOS[CodigoProducto],A6:A67,SAL.AGROQUIMICOS[Dosis])</f>
        <v>0</v>
      </c>
      <c r="H7" s="21">
        <f>INV.AGROQUIMICOS[[#This Row],[ENTRADAS ]]-INV.AGROQUIMICOS[[#This Row],[SALIDAS]]</f>
        <v>124.9</v>
      </c>
      <c r="I7" s="21">
        <v>139.19999999999999</v>
      </c>
      <c r="J7" s="43">
        <f>INV.AGROQUIMICOS[[#This Row],[STOCK ACTUAL]]*INV.AGROQUIMICOS[[#This Row],[PRECIOS UNITARIOS EN BS]]</f>
        <v>17386.079999999998</v>
      </c>
      <c r="K7" s="20"/>
      <c r="M7"/>
      <c r="N7"/>
      <c r="O7"/>
    </row>
    <row r="8" spans="1:15" ht="15.75" x14ac:dyDescent="0.25">
      <c r="A8" s="13" t="s">
        <v>15</v>
      </c>
      <c r="B8" s="14" t="s">
        <v>94</v>
      </c>
      <c r="C8" s="14" t="s">
        <v>197</v>
      </c>
      <c r="D8" s="14" t="s">
        <v>150</v>
      </c>
      <c r="E8" s="15" t="s">
        <v>152</v>
      </c>
      <c r="F8" s="31">
        <f>SUMIF(ING.ABROQUIMICOS[CODIGO],A7:A68,ING.ABROQUIMICOS[CANTIDAD])</f>
        <v>3</v>
      </c>
      <c r="G8" s="31">
        <f>SUMIF(SAL.AGROQUIMICOS[CodigoProducto],A7:A68,SAL.AGROQUIMICOS[Dosis])</f>
        <v>0</v>
      </c>
      <c r="H8" s="21">
        <f>INV.AGROQUIMICOS[[#This Row],[ENTRADAS ]]-INV.AGROQUIMICOS[[#This Row],[SALIDAS]]</f>
        <v>3</v>
      </c>
      <c r="I8" s="21">
        <v>274.92</v>
      </c>
      <c r="J8" s="43">
        <f>INV.AGROQUIMICOS[[#This Row],[STOCK ACTUAL]]*INV.AGROQUIMICOS[[#This Row],[PRECIOS UNITARIOS EN BS]]</f>
        <v>824.76</v>
      </c>
      <c r="K8" s="20"/>
      <c r="M8"/>
      <c r="N8"/>
      <c r="O8"/>
    </row>
    <row r="9" spans="1:15" ht="15.75" x14ac:dyDescent="0.25">
      <c r="A9" s="16" t="s">
        <v>16</v>
      </c>
      <c r="B9" s="17" t="s">
        <v>95</v>
      </c>
      <c r="C9" s="17" t="s">
        <v>198</v>
      </c>
      <c r="D9" s="14" t="s">
        <v>150</v>
      </c>
      <c r="E9" s="15" t="s">
        <v>153</v>
      </c>
      <c r="F9" s="31">
        <f>SUMIF(ING.ABROQUIMICOS[CODIGO],A8:A69,ING.ABROQUIMICOS[CANTIDAD])</f>
        <v>230</v>
      </c>
      <c r="G9" s="31">
        <f>SUMIF(SAL.AGROQUIMICOS[CodigoProducto],A8:A69,SAL.AGROQUIMICOS[Dosis])</f>
        <v>0.4</v>
      </c>
      <c r="H9" s="21">
        <f>INV.AGROQUIMICOS[[#This Row],[ENTRADAS ]]-INV.AGROQUIMICOS[[#This Row],[SALIDAS]]</f>
        <v>229.6</v>
      </c>
      <c r="I9" s="21">
        <v>90.48</v>
      </c>
      <c r="J9" s="43">
        <f>INV.AGROQUIMICOS[[#This Row],[STOCK ACTUAL]]*INV.AGROQUIMICOS[[#This Row],[PRECIOS UNITARIOS EN BS]]</f>
        <v>20774.207999999999</v>
      </c>
      <c r="K9" s="20"/>
      <c r="M9"/>
      <c r="N9"/>
      <c r="O9"/>
    </row>
    <row r="10" spans="1:15" ht="15.75" x14ac:dyDescent="0.25">
      <c r="A10" s="13" t="s">
        <v>17</v>
      </c>
      <c r="B10" s="14" t="s">
        <v>96</v>
      </c>
      <c r="C10" s="14" t="s">
        <v>199</v>
      </c>
      <c r="D10" s="14" t="s">
        <v>150</v>
      </c>
      <c r="E10" s="15" t="s">
        <v>153</v>
      </c>
      <c r="F10" s="31">
        <f>SUMIF(ING.ABROQUIMICOS[CODIGO],A9:A70,ING.ABROQUIMICOS[CANTIDAD])</f>
        <v>110</v>
      </c>
      <c r="G10" s="31">
        <f>SUMIF(SAL.AGROQUIMICOS[CodigoProducto],A9:A70,SAL.AGROQUIMICOS[Dosis])</f>
        <v>0</v>
      </c>
      <c r="H10" s="21">
        <f>INV.AGROQUIMICOS[[#This Row],[ENTRADAS ]]-INV.AGROQUIMICOS[[#This Row],[SALIDAS]]</f>
        <v>110</v>
      </c>
      <c r="I10" s="21">
        <v>20.88</v>
      </c>
      <c r="J10" s="43">
        <f>INV.AGROQUIMICOS[[#This Row],[STOCK ACTUAL]]*INV.AGROQUIMICOS[[#This Row],[PRECIOS UNITARIOS EN BS]]</f>
        <v>2296.7999999999997</v>
      </c>
      <c r="K10" s="20"/>
      <c r="M10"/>
      <c r="N10"/>
      <c r="O10"/>
    </row>
    <row r="11" spans="1:15" ht="15.75" x14ac:dyDescent="0.25">
      <c r="A11" s="16" t="s">
        <v>18</v>
      </c>
      <c r="B11" s="17" t="s">
        <v>5</v>
      </c>
      <c r="C11" s="17" t="s">
        <v>200</v>
      </c>
      <c r="D11" s="14" t="s">
        <v>151</v>
      </c>
      <c r="E11" s="15" t="s">
        <v>154</v>
      </c>
      <c r="F11" s="31">
        <f>SUMIF(ING.ABROQUIMICOS[CODIGO],A10:A72,ING.ABROQUIMICOS[CANTIDAD])</f>
        <v>335.90499999999997</v>
      </c>
      <c r="G11" s="31">
        <f>SUMIF(SAL.AGROQUIMICOS[CodigoProducto],A10:A72,SAL.AGROQUIMICOS[Dosis])</f>
        <v>0</v>
      </c>
      <c r="H11" s="21">
        <f>INV.AGROQUIMICOS[[#This Row],[ENTRADAS ]]-INV.AGROQUIMICOS[[#This Row],[SALIDAS]]</f>
        <v>335.90499999999997</v>
      </c>
      <c r="I11" s="21">
        <v>208.8</v>
      </c>
      <c r="J11" s="43">
        <f>INV.AGROQUIMICOS[[#This Row],[STOCK ACTUAL]]*INV.AGROQUIMICOS[[#This Row],[PRECIOS UNITARIOS EN BS]]</f>
        <v>70136.963999999993</v>
      </c>
      <c r="K11" s="20"/>
      <c r="M11"/>
      <c r="N11"/>
      <c r="O11"/>
    </row>
    <row r="12" spans="1:15" ht="15.75" x14ac:dyDescent="0.25">
      <c r="A12" s="13" t="s">
        <v>19</v>
      </c>
      <c r="B12" s="14" t="s">
        <v>97</v>
      </c>
      <c r="C12" s="14" t="s">
        <v>201</v>
      </c>
      <c r="D12" s="14" t="s">
        <v>150</v>
      </c>
      <c r="E12" s="15" t="s">
        <v>154</v>
      </c>
      <c r="F12" s="31">
        <f>SUMIF(ING.ABROQUIMICOS[CODIGO],A11:A173,ING.ABROQUIMICOS[CANTIDAD])</f>
        <v>2</v>
      </c>
      <c r="G12" s="31">
        <f>SUMIF(SAL.AGROQUIMICOS[CodigoProducto],A11:A173,SAL.AGROQUIMICOS[Dosis])</f>
        <v>0</v>
      </c>
      <c r="H12" s="21">
        <f>INV.AGROQUIMICOS[[#This Row],[ENTRADAS ]]-INV.AGROQUIMICOS[[#This Row],[SALIDAS]]</f>
        <v>2</v>
      </c>
      <c r="I12" s="21">
        <v>82.823999999999998</v>
      </c>
      <c r="J12" s="43">
        <f>INV.AGROQUIMICOS[[#This Row],[STOCK ACTUAL]]*INV.AGROQUIMICOS[[#This Row],[PRECIOS UNITARIOS EN BS]]</f>
        <v>165.648</v>
      </c>
      <c r="K12" s="20"/>
      <c r="M12"/>
      <c r="N12"/>
      <c r="O12"/>
    </row>
    <row r="13" spans="1:15" ht="15.75" x14ac:dyDescent="0.25">
      <c r="A13" s="16" t="s">
        <v>20</v>
      </c>
      <c r="B13" s="17" t="s">
        <v>98</v>
      </c>
      <c r="C13" s="17" t="s">
        <v>202</v>
      </c>
      <c r="D13" s="14" t="s">
        <v>150</v>
      </c>
      <c r="E13" s="15" t="s">
        <v>152</v>
      </c>
      <c r="F13" s="31">
        <f>SUMIF(ING.ABROQUIMICOS[CODIGO],A12:A174,ING.ABROQUIMICOS[CANTIDAD])</f>
        <v>33</v>
      </c>
      <c r="G13" s="31">
        <f>SUMIF(SAL.AGROQUIMICOS[CodigoProducto],A12:A174,SAL.AGROQUIMICOS[Dosis])</f>
        <v>0</v>
      </c>
      <c r="H13" s="21">
        <f>INV.AGROQUIMICOS[[#This Row],[ENTRADAS ]]-INV.AGROQUIMICOS[[#This Row],[SALIDAS]]</f>
        <v>33</v>
      </c>
      <c r="I13" s="21">
        <v>41.98272</v>
      </c>
      <c r="J13" s="43">
        <f>INV.AGROQUIMICOS[[#This Row],[STOCK ACTUAL]]*INV.AGROQUIMICOS[[#This Row],[PRECIOS UNITARIOS EN BS]]</f>
        <v>1385.42976</v>
      </c>
      <c r="K13" s="20"/>
      <c r="M13"/>
      <c r="N13"/>
      <c r="O13"/>
    </row>
    <row r="14" spans="1:15" ht="15.75" x14ac:dyDescent="0.25">
      <c r="A14" s="13" t="s">
        <v>21</v>
      </c>
      <c r="B14" s="14" t="s">
        <v>78</v>
      </c>
      <c r="C14" s="14" t="s">
        <v>203</v>
      </c>
      <c r="D14" s="14" t="s">
        <v>150</v>
      </c>
      <c r="E14" s="15" t="s">
        <v>336</v>
      </c>
      <c r="F14" s="31">
        <f>SUMIF(ING.ABROQUIMICOS[CODIGO],A13:A175,ING.ABROQUIMICOS[CANTIDAD])</f>
        <v>5.4049999999999994</v>
      </c>
      <c r="G14" s="31">
        <f>SUMIF(SAL.AGROQUIMICOS[CodigoProducto],A13:A175,SAL.AGROQUIMICOS[Dosis])</f>
        <v>0</v>
      </c>
      <c r="H14" s="21">
        <f>INV.AGROQUIMICOS[[#This Row],[ENTRADAS ]]-INV.AGROQUIMICOS[[#This Row],[SALIDAS]]</f>
        <v>5.4049999999999994</v>
      </c>
      <c r="I14" s="21">
        <v>2644.8</v>
      </c>
      <c r="J14" s="43">
        <f>INV.AGROQUIMICOS[[#This Row],[STOCK ACTUAL]]*INV.AGROQUIMICOS[[#This Row],[PRECIOS UNITARIOS EN BS]]</f>
        <v>14295.143999999998</v>
      </c>
      <c r="K14" s="20"/>
      <c r="M14"/>
      <c r="N14"/>
      <c r="O14"/>
    </row>
    <row r="15" spans="1:15" ht="15.75" x14ac:dyDescent="0.25">
      <c r="A15" s="16" t="s">
        <v>22</v>
      </c>
      <c r="B15" s="17" t="s">
        <v>99</v>
      </c>
      <c r="C15" s="17" t="s">
        <v>204</v>
      </c>
      <c r="D15" s="14" t="s">
        <v>150</v>
      </c>
      <c r="E15" s="15" t="s">
        <v>152</v>
      </c>
      <c r="F15" s="31">
        <f>SUMIF(ING.ABROQUIMICOS[CODIGO],A14:A176,ING.ABROQUIMICOS[CANTIDAD])</f>
        <v>175</v>
      </c>
      <c r="G15" s="31">
        <f>SUMIF(SAL.AGROQUIMICOS[CodigoProducto],A14:A176,SAL.AGROQUIMICOS[Dosis])</f>
        <v>0</v>
      </c>
      <c r="H15" s="21">
        <f>INV.AGROQUIMICOS[[#This Row],[ENTRADAS ]]-INV.AGROQUIMICOS[[#This Row],[SALIDAS]]</f>
        <v>175</v>
      </c>
      <c r="I15" s="21">
        <v>146.16</v>
      </c>
      <c r="J15" s="43">
        <f>INV.AGROQUIMICOS[[#This Row],[STOCK ACTUAL]]*INV.AGROQUIMICOS[[#This Row],[PRECIOS UNITARIOS EN BS]]</f>
        <v>25578</v>
      </c>
      <c r="K15" s="20"/>
      <c r="M15"/>
      <c r="N15"/>
      <c r="O15"/>
    </row>
    <row r="16" spans="1:15" ht="15.75" x14ac:dyDescent="0.25">
      <c r="A16" s="13" t="s">
        <v>23</v>
      </c>
      <c r="B16" s="14" t="s">
        <v>100</v>
      </c>
      <c r="C16" s="14" t="s">
        <v>205</v>
      </c>
      <c r="D16" s="14" t="s">
        <v>150</v>
      </c>
      <c r="E16" s="15" t="s">
        <v>155</v>
      </c>
      <c r="F16" s="31">
        <f>SUMIF(ING.ABROQUIMICOS[CODIGO],A15:A177,ING.ABROQUIMICOS[CANTIDAD])</f>
        <v>53</v>
      </c>
      <c r="G16" s="31">
        <f>SUMIF(SAL.AGROQUIMICOS[CodigoProducto],A15:A177,SAL.AGROQUIMICOS[Dosis])</f>
        <v>0</v>
      </c>
      <c r="H16" s="21">
        <f>INV.AGROQUIMICOS[[#This Row],[ENTRADAS ]]-INV.AGROQUIMICOS[[#This Row],[SALIDAS]]</f>
        <v>53</v>
      </c>
      <c r="I16" s="21">
        <v>194.88</v>
      </c>
      <c r="J16" s="43">
        <f>INV.AGROQUIMICOS[[#This Row],[STOCK ACTUAL]]*INV.AGROQUIMICOS[[#This Row],[PRECIOS UNITARIOS EN BS]]</f>
        <v>10328.64</v>
      </c>
      <c r="K16" s="20"/>
      <c r="M16"/>
      <c r="N16"/>
      <c r="O16"/>
    </row>
    <row r="17" spans="1:15" ht="15.75" x14ac:dyDescent="0.25">
      <c r="A17" s="16" t="s">
        <v>24</v>
      </c>
      <c r="B17" s="17" t="s">
        <v>101</v>
      </c>
      <c r="C17" s="17" t="s">
        <v>206</v>
      </c>
      <c r="D17" s="14" t="s">
        <v>150</v>
      </c>
      <c r="E17" s="15" t="s">
        <v>156</v>
      </c>
      <c r="F17" s="31">
        <f>SUMIF(ING.ABROQUIMICOS[CODIGO],A16:A178,ING.ABROQUIMICOS[CANTIDAD])</f>
        <v>85</v>
      </c>
      <c r="G17" s="31">
        <f>SUMIF(SAL.AGROQUIMICOS[CodigoProducto],A16:A178,SAL.AGROQUIMICOS[Dosis])</f>
        <v>0</v>
      </c>
      <c r="H17" s="21">
        <f>INV.AGROQUIMICOS[[#This Row],[ENTRADAS ]]-INV.AGROQUIMICOS[[#This Row],[SALIDAS]]</f>
        <v>85</v>
      </c>
      <c r="I17" s="21">
        <v>380.01600000000002</v>
      </c>
      <c r="J17" s="43">
        <f>INV.AGROQUIMICOS[[#This Row],[STOCK ACTUAL]]*INV.AGROQUIMICOS[[#This Row],[PRECIOS UNITARIOS EN BS]]</f>
        <v>32301.360000000001</v>
      </c>
      <c r="K17" s="20"/>
      <c r="M17"/>
      <c r="N17"/>
      <c r="O17"/>
    </row>
    <row r="18" spans="1:15" ht="15.75" x14ac:dyDescent="0.25">
      <c r="A18" s="13" t="s">
        <v>25</v>
      </c>
      <c r="B18" s="14" t="s">
        <v>102</v>
      </c>
      <c r="C18" s="14" t="s">
        <v>207</v>
      </c>
      <c r="D18" s="14" t="s">
        <v>150</v>
      </c>
      <c r="E18" s="15" t="s">
        <v>156</v>
      </c>
      <c r="F18" s="31">
        <f>SUMIF(ING.ABROQUIMICOS[CODIGO],A17:A179,ING.ABROQUIMICOS[CANTIDAD])</f>
        <v>10</v>
      </c>
      <c r="G18" s="31">
        <f>SUMIF(SAL.AGROQUIMICOS[CodigoProducto],A17:A179,SAL.AGROQUIMICOS[Dosis])</f>
        <v>0</v>
      </c>
      <c r="H18" s="21">
        <f>INV.AGROQUIMICOS[[#This Row],[ENTRADAS ]]-INV.AGROQUIMICOS[[#This Row],[SALIDAS]]</f>
        <v>10</v>
      </c>
      <c r="I18" s="21"/>
      <c r="J18" s="43">
        <f>INV.AGROQUIMICOS[[#This Row],[STOCK ACTUAL]]*INV.AGROQUIMICOS[[#This Row],[PRECIOS UNITARIOS EN BS]]</f>
        <v>0</v>
      </c>
      <c r="K18" s="20"/>
      <c r="M18"/>
      <c r="N18"/>
      <c r="O18"/>
    </row>
    <row r="19" spans="1:15" ht="15.75" x14ac:dyDescent="0.25">
      <c r="A19" s="16" t="s">
        <v>26</v>
      </c>
      <c r="B19" s="17" t="s">
        <v>103</v>
      </c>
      <c r="C19" s="17" t="s">
        <v>208</v>
      </c>
      <c r="D19" s="14" t="s">
        <v>150</v>
      </c>
      <c r="E19" s="15" t="s">
        <v>156</v>
      </c>
      <c r="F19" s="31">
        <f>SUMIF(ING.ABROQUIMICOS[CODIGO],A18:A180,ING.ABROQUIMICOS[CANTIDAD])</f>
        <v>15</v>
      </c>
      <c r="G19" s="31">
        <f>SUMIF(SAL.AGROQUIMICOS[CodigoProducto],A18:A180,SAL.AGROQUIMICOS[Dosis])</f>
        <v>0</v>
      </c>
      <c r="H19" s="21">
        <f>INV.AGROQUIMICOS[[#This Row],[ENTRADAS ]]-INV.AGROQUIMICOS[[#This Row],[SALIDAS]]</f>
        <v>15</v>
      </c>
      <c r="I19" s="21">
        <v>76.56</v>
      </c>
      <c r="J19" s="43">
        <f>INV.AGROQUIMICOS[[#This Row],[STOCK ACTUAL]]*INV.AGROQUIMICOS[[#This Row],[PRECIOS UNITARIOS EN BS]]</f>
        <v>1148.4000000000001</v>
      </c>
      <c r="K19" s="20"/>
      <c r="M19"/>
      <c r="N19"/>
      <c r="O19"/>
    </row>
    <row r="20" spans="1:15" ht="15.75" x14ac:dyDescent="0.25">
      <c r="A20" s="13" t="s">
        <v>27</v>
      </c>
      <c r="B20" s="14" t="s">
        <v>104</v>
      </c>
      <c r="C20" s="14" t="s">
        <v>209</v>
      </c>
      <c r="D20" s="14" t="s">
        <v>150</v>
      </c>
      <c r="E20" s="15" t="s">
        <v>10</v>
      </c>
      <c r="F20" s="31">
        <f>SUMIF(ING.ABROQUIMICOS[CODIGO],A19:A181,ING.ABROQUIMICOS[CANTIDAD])</f>
        <v>160</v>
      </c>
      <c r="G20" s="31">
        <f>SUMIF(SAL.AGROQUIMICOS[CodigoProducto],A19:A181,SAL.AGROQUIMICOS[Dosis])</f>
        <v>0</v>
      </c>
      <c r="H20" s="21">
        <f>INV.AGROQUIMICOS[[#This Row],[ENTRADAS ]]-INV.AGROQUIMICOS[[#This Row],[SALIDAS]]</f>
        <v>160</v>
      </c>
      <c r="I20" s="21">
        <v>89.087999999999994</v>
      </c>
      <c r="J20" s="43">
        <f>INV.AGROQUIMICOS[[#This Row],[STOCK ACTUAL]]*INV.AGROQUIMICOS[[#This Row],[PRECIOS UNITARIOS EN BS]]</f>
        <v>14254.079999999998</v>
      </c>
      <c r="K20" s="20"/>
      <c r="M20"/>
      <c r="N20"/>
      <c r="O20"/>
    </row>
    <row r="21" spans="1:15" ht="15.75" x14ac:dyDescent="0.25">
      <c r="A21" s="16" t="s">
        <v>28</v>
      </c>
      <c r="B21" s="17" t="s">
        <v>105</v>
      </c>
      <c r="C21" s="17" t="s">
        <v>210</v>
      </c>
      <c r="D21" s="14" t="s">
        <v>150</v>
      </c>
      <c r="E21" s="15" t="s">
        <v>10</v>
      </c>
      <c r="F21" s="31">
        <f>SUMIF(ING.ABROQUIMICOS[CODIGO],A20:A182,ING.ABROQUIMICOS[CANTIDAD])</f>
        <v>100</v>
      </c>
      <c r="G21" s="31">
        <f>SUMIF(SAL.AGROQUIMICOS[CodigoProducto],A20:A182,SAL.AGROQUIMICOS[Dosis])</f>
        <v>0</v>
      </c>
      <c r="H21" s="21">
        <f>INV.AGROQUIMICOS[[#This Row],[ENTRADAS ]]-INV.AGROQUIMICOS[[#This Row],[SALIDAS]]</f>
        <v>100</v>
      </c>
      <c r="I21" s="21">
        <v>28.675999999999998</v>
      </c>
      <c r="J21" s="43">
        <f>INV.AGROQUIMICOS[[#This Row],[STOCK ACTUAL]]*INV.AGROQUIMICOS[[#This Row],[PRECIOS UNITARIOS EN BS]]</f>
        <v>2867.6</v>
      </c>
      <c r="K21" s="20"/>
      <c r="M21"/>
      <c r="N21"/>
      <c r="O21"/>
    </row>
    <row r="22" spans="1:15" ht="15.75" x14ac:dyDescent="0.25">
      <c r="A22" s="13" t="s">
        <v>29</v>
      </c>
      <c r="B22" s="14" t="s">
        <v>106</v>
      </c>
      <c r="C22" s="14" t="s">
        <v>211</v>
      </c>
      <c r="D22" s="14" t="s">
        <v>150</v>
      </c>
      <c r="E22" s="15" t="s">
        <v>10</v>
      </c>
      <c r="F22" s="31">
        <f>SUMIF(ING.ABROQUIMICOS[CODIGO],A21:A183,ING.ABROQUIMICOS[CANTIDAD])</f>
        <v>120</v>
      </c>
      <c r="G22" s="31">
        <f>SUMIF(SAL.AGROQUIMICOS[CodigoProducto],A21:A183,SAL.AGROQUIMICOS[Dosis])</f>
        <v>0</v>
      </c>
      <c r="H22" s="21">
        <f>INV.AGROQUIMICOS[[#This Row],[ENTRADAS ]]-INV.AGROQUIMICOS[[#This Row],[SALIDAS]]</f>
        <v>120</v>
      </c>
      <c r="I22" s="21">
        <v>69.599999999999994</v>
      </c>
      <c r="J22" s="43">
        <f>INV.AGROQUIMICOS[[#This Row],[STOCK ACTUAL]]*INV.AGROQUIMICOS[[#This Row],[PRECIOS UNITARIOS EN BS]]</f>
        <v>8352</v>
      </c>
      <c r="K22" s="20"/>
      <c r="M22"/>
      <c r="N22"/>
      <c r="O22"/>
    </row>
    <row r="23" spans="1:15" ht="15.75" x14ac:dyDescent="0.25">
      <c r="A23" s="16" t="s">
        <v>30</v>
      </c>
      <c r="B23" s="17" t="s">
        <v>107</v>
      </c>
      <c r="C23" s="17" t="s">
        <v>212</v>
      </c>
      <c r="D23" s="14" t="s">
        <v>151</v>
      </c>
      <c r="E23" s="15" t="s">
        <v>10</v>
      </c>
      <c r="F23" s="31">
        <f>SUMIF(ING.ABROQUIMICOS[CODIGO],A22:A184,ING.ABROQUIMICOS[CANTIDAD])</f>
        <v>5</v>
      </c>
      <c r="G23" s="31">
        <f>SUMIF(SAL.AGROQUIMICOS[CodigoProducto],A22:A184,SAL.AGROQUIMICOS[Dosis])</f>
        <v>0</v>
      </c>
      <c r="H23" s="21">
        <f>INV.AGROQUIMICOS[[#This Row],[ENTRADAS ]]-INV.AGROQUIMICOS[[#This Row],[SALIDAS]]</f>
        <v>5</v>
      </c>
      <c r="I23" s="21">
        <v>121.8</v>
      </c>
      <c r="J23" s="43">
        <f>INV.AGROQUIMICOS[[#This Row],[STOCK ACTUAL]]*INV.AGROQUIMICOS[[#This Row],[PRECIOS UNITARIOS EN BS]]</f>
        <v>609</v>
      </c>
      <c r="K23" s="20"/>
      <c r="M23"/>
      <c r="N23"/>
      <c r="O23"/>
    </row>
    <row r="24" spans="1:15" ht="15.75" x14ac:dyDescent="0.25">
      <c r="A24" s="13" t="s">
        <v>31</v>
      </c>
      <c r="B24" s="14" t="s">
        <v>108</v>
      </c>
      <c r="C24" s="14" t="s">
        <v>212</v>
      </c>
      <c r="D24" s="14" t="s">
        <v>150</v>
      </c>
      <c r="E24" s="15" t="s">
        <v>6</v>
      </c>
      <c r="F24" s="32">
        <f>SUMIF(ING.ABROQUIMICOS[CODIGO],A23:A185,ING.ABROQUIMICOS[CANTIDAD])</f>
        <v>440</v>
      </c>
      <c r="G24" s="31">
        <f>SUMIF(SAL.AGROQUIMICOS[CodigoProducto],A23:A185,SAL.AGROQUIMICOS[Dosis])</f>
        <v>0</v>
      </c>
      <c r="H24" s="21">
        <f>INV.AGROQUIMICOS[[#This Row],[ENTRADAS ]]-INV.AGROQUIMICOS[[#This Row],[SALIDAS]]</f>
        <v>440</v>
      </c>
      <c r="I24" s="21">
        <v>87</v>
      </c>
      <c r="J24" s="43">
        <f>INV.AGROQUIMICOS[[#This Row],[STOCK ACTUAL]]*INV.AGROQUIMICOS[[#This Row],[PRECIOS UNITARIOS EN BS]]</f>
        <v>38280</v>
      </c>
      <c r="K24" s="20"/>
      <c r="M24"/>
      <c r="N24"/>
      <c r="O24"/>
    </row>
    <row r="25" spans="1:15" ht="15.75" x14ac:dyDescent="0.25">
      <c r="A25" s="16" t="s">
        <v>32</v>
      </c>
      <c r="B25" s="17" t="s">
        <v>109</v>
      </c>
      <c r="C25" s="17" t="s">
        <v>213</v>
      </c>
      <c r="D25" s="14" t="s">
        <v>150</v>
      </c>
      <c r="E25" s="15" t="s">
        <v>6</v>
      </c>
      <c r="F25" s="32">
        <f>SUMIF(ING.ABROQUIMICOS[CODIGO],A24:A186,ING.ABROQUIMICOS[CANTIDAD])</f>
        <v>5.5</v>
      </c>
      <c r="G25" s="31">
        <f>SUMIF(SAL.AGROQUIMICOS[CodigoProducto],A24:A186,SAL.AGROQUIMICOS[Dosis])</f>
        <v>0</v>
      </c>
      <c r="H25" s="21">
        <f>INV.AGROQUIMICOS[[#This Row],[ENTRADAS ]]-INV.AGROQUIMICOS[[#This Row],[SALIDAS]]</f>
        <v>5.5</v>
      </c>
      <c r="I25" s="21">
        <v>2.0880000000000001</v>
      </c>
      <c r="J25" s="43">
        <f>INV.AGROQUIMICOS[[#This Row],[STOCK ACTUAL]]*INV.AGROQUIMICOS[[#This Row],[PRECIOS UNITARIOS EN BS]]</f>
        <v>11.484</v>
      </c>
      <c r="K25" s="20"/>
      <c r="M25"/>
      <c r="N25"/>
      <c r="O25"/>
    </row>
    <row r="26" spans="1:15" ht="15.75" x14ac:dyDescent="0.25">
      <c r="A26" s="13" t="s">
        <v>33</v>
      </c>
      <c r="B26" s="14" t="s">
        <v>110</v>
      </c>
      <c r="C26" s="14" t="s">
        <v>214</v>
      </c>
      <c r="D26" s="14" t="s">
        <v>150</v>
      </c>
      <c r="E26" s="15" t="s">
        <v>6</v>
      </c>
      <c r="F26" s="32">
        <f>SUMIF(ING.ABROQUIMICOS[CODIGO],A25:A187,ING.ABROQUIMICOS[CANTIDAD])</f>
        <v>9</v>
      </c>
      <c r="G26" s="31">
        <f>SUMIF(SAL.AGROQUIMICOS[CodigoProducto],A25:A187,SAL.AGROQUIMICOS[Dosis])</f>
        <v>0</v>
      </c>
      <c r="H26" s="21">
        <f>INV.AGROQUIMICOS[[#This Row],[ENTRADAS ]]-INV.AGROQUIMICOS[[#This Row],[SALIDAS]]</f>
        <v>9</v>
      </c>
      <c r="I26" s="21">
        <v>121.8</v>
      </c>
      <c r="J26" s="43">
        <f>INV.AGROQUIMICOS[[#This Row],[STOCK ACTUAL]]*INV.AGROQUIMICOS[[#This Row],[PRECIOS UNITARIOS EN BS]]</f>
        <v>1096.2</v>
      </c>
      <c r="K26" s="20"/>
      <c r="M26"/>
      <c r="N26"/>
      <c r="O26"/>
    </row>
    <row r="27" spans="1:15" ht="15.75" x14ac:dyDescent="0.25">
      <c r="A27" s="16" t="s">
        <v>34</v>
      </c>
      <c r="B27" s="17" t="s">
        <v>111</v>
      </c>
      <c r="C27" s="17" t="s">
        <v>215</v>
      </c>
      <c r="D27" s="14" t="s">
        <v>150</v>
      </c>
      <c r="E27" s="15" t="s">
        <v>6</v>
      </c>
      <c r="F27" s="32">
        <f>SUMIF(ING.ABROQUIMICOS[CODIGO],A26:A188,ING.ABROQUIMICOS[CANTIDAD])</f>
        <v>5</v>
      </c>
      <c r="G27" s="31">
        <f>SUMIF(SAL.AGROQUIMICOS[CodigoProducto],A26:A188,SAL.AGROQUIMICOS[Dosis])</f>
        <v>0</v>
      </c>
      <c r="H27" s="21">
        <f>INV.AGROQUIMICOS[[#This Row],[ENTRADAS ]]-INV.AGROQUIMICOS[[#This Row],[SALIDAS]]</f>
        <v>5</v>
      </c>
      <c r="I27" s="21">
        <v>69.599999999999994</v>
      </c>
      <c r="J27" s="43">
        <f>INV.AGROQUIMICOS[[#This Row],[STOCK ACTUAL]]*INV.AGROQUIMICOS[[#This Row],[PRECIOS UNITARIOS EN BS]]</f>
        <v>348</v>
      </c>
      <c r="K27" s="20"/>
      <c r="M27"/>
      <c r="N27"/>
      <c r="O27"/>
    </row>
    <row r="28" spans="1:15" ht="15.75" x14ac:dyDescent="0.25">
      <c r="A28" s="13" t="s">
        <v>35</v>
      </c>
      <c r="B28" s="14" t="s">
        <v>112</v>
      </c>
      <c r="C28" s="14" t="s">
        <v>216</v>
      </c>
      <c r="D28" s="14" t="s">
        <v>150</v>
      </c>
      <c r="E28" s="15" t="s">
        <v>6</v>
      </c>
      <c r="F28" s="32">
        <f>SUMIF(ING.ABROQUIMICOS[CODIGO],A27:A189,ING.ABROQUIMICOS[CANTIDAD])</f>
        <v>85</v>
      </c>
      <c r="G28" s="31">
        <f>SUMIF(SAL.AGROQUIMICOS[CodigoProducto],A27:A189,SAL.AGROQUIMICOS[Dosis])</f>
        <v>0</v>
      </c>
      <c r="H28" s="21">
        <f>INV.AGROQUIMICOS[[#This Row],[ENTRADAS ]]-INV.AGROQUIMICOS[[#This Row],[SALIDAS]]</f>
        <v>85</v>
      </c>
      <c r="I28" s="21">
        <v>100.92</v>
      </c>
      <c r="J28" s="43">
        <f>INV.AGROQUIMICOS[[#This Row],[STOCK ACTUAL]]*INV.AGROQUIMICOS[[#This Row],[PRECIOS UNITARIOS EN BS]]</f>
        <v>8578.2000000000007</v>
      </c>
      <c r="K28" s="20"/>
      <c r="M28"/>
      <c r="N28"/>
      <c r="O28"/>
    </row>
    <row r="29" spans="1:15" ht="15.75" x14ac:dyDescent="0.25">
      <c r="A29" s="16" t="s">
        <v>36</v>
      </c>
      <c r="B29" s="17" t="s">
        <v>113</v>
      </c>
      <c r="C29" s="17" t="s">
        <v>217</v>
      </c>
      <c r="D29" s="14" t="s">
        <v>150</v>
      </c>
      <c r="E29" s="15" t="s">
        <v>6</v>
      </c>
      <c r="F29" s="32">
        <f>SUMIF(ING.ABROQUIMICOS[CODIGO],A28:A190,ING.ABROQUIMICOS[CANTIDAD])</f>
        <v>80</v>
      </c>
      <c r="G29" s="31">
        <f>SUMIF(SAL.AGROQUIMICOS[CodigoProducto],A28:A190,SAL.AGROQUIMICOS[Dosis])</f>
        <v>0</v>
      </c>
      <c r="H29" s="21">
        <f>INV.AGROQUIMICOS[[#This Row],[ENTRADAS ]]-INV.AGROQUIMICOS[[#This Row],[SALIDAS]]</f>
        <v>80</v>
      </c>
      <c r="I29" s="21">
        <v>4.1760000000000002</v>
      </c>
      <c r="J29" s="43">
        <f>INV.AGROQUIMICOS[[#This Row],[STOCK ACTUAL]]*INV.AGROQUIMICOS[[#This Row],[PRECIOS UNITARIOS EN BS]]</f>
        <v>334.08000000000004</v>
      </c>
      <c r="K29" s="20"/>
      <c r="M29"/>
      <c r="N29"/>
      <c r="O29"/>
    </row>
    <row r="30" spans="1:15" ht="15.75" x14ac:dyDescent="0.25">
      <c r="A30" s="13" t="s">
        <v>37</v>
      </c>
      <c r="B30" s="14" t="s">
        <v>114</v>
      </c>
      <c r="C30" s="14" t="s">
        <v>218</v>
      </c>
      <c r="D30" s="14" t="s">
        <v>150</v>
      </c>
      <c r="E30" s="15" t="s">
        <v>6</v>
      </c>
      <c r="F30" s="32">
        <f>SUMIF(ING.ABROQUIMICOS[CODIGO],A29:A191,ING.ABROQUIMICOS[CANTIDAD])</f>
        <v>41</v>
      </c>
      <c r="G30" s="31">
        <f>SUMIF(SAL.AGROQUIMICOS[CodigoProducto],A29:A191,SAL.AGROQUIMICOS[Dosis])</f>
        <v>0</v>
      </c>
      <c r="H30" s="21">
        <f>INV.AGROQUIMICOS[[#This Row],[ENTRADAS ]]-INV.AGROQUIMICOS[[#This Row],[SALIDAS]]</f>
        <v>41</v>
      </c>
      <c r="I30" s="21">
        <v>265.87</v>
      </c>
      <c r="J30" s="43">
        <f>INV.AGROQUIMICOS[[#This Row],[STOCK ACTUAL]]*INV.AGROQUIMICOS[[#This Row],[PRECIOS UNITARIOS EN BS]]</f>
        <v>10900.67</v>
      </c>
      <c r="K30" s="20"/>
      <c r="M30"/>
      <c r="N30"/>
      <c r="O30"/>
    </row>
    <row r="31" spans="1:15" ht="15.75" x14ac:dyDescent="0.25">
      <c r="A31" s="16" t="s">
        <v>38</v>
      </c>
      <c r="B31" s="17" t="s">
        <v>115</v>
      </c>
      <c r="C31" s="17" t="s">
        <v>219</v>
      </c>
      <c r="D31" s="14" t="s">
        <v>150</v>
      </c>
      <c r="E31" s="15" t="s">
        <v>6</v>
      </c>
      <c r="F31" s="32">
        <f>SUMIF(ING.ABROQUIMICOS[CODIGO],A30:A192,ING.ABROQUIMICOS[CANTIDAD])</f>
        <v>1.6</v>
      </c>
      <c r="G31" s="31">
        <f>SUMIF(SAL.AGROQUIMICOS[CodigoProducto],A30:A192,SAL.AGROQUIMICOS[Dosis])</f>
        <v>0</v>
      </c>
      <c r="H31" s="21">
        <f>INV.AGROQUIMICOS[[#This Row],[ENTRADAS ]]-INV.AGROQUIMICOS[[#This Row],[SALIDAS]]</f>
        <v>1.6</v>
      </c>
      <c r="I31" s="21">
        <v>102.66</v>
      </c>
      <c r="J31" s="43">
        <f>INV.AGROQUIMICOS[[#This Row],[STOCK ACTUAL]]*INV.AGROQUIMICOS[[#This Row],[PRECIOS UNITARIOS EN BS]]</f>
        <v>164.256</v>
      </c>
      <c r="K31" s="20"/>
      <c r="M31"/>
      <c r="N31"/>
      <c r="O31"/>
    </row>
    <row r="32" spans="1:15" ht="15.75" x14ac:dyDescent="0.25">
      <c r="A32" s="13" t="s">
        <v>39</v>
      </c>
      <c r="B32" s="14" t="s">
        <v>116</v>
      </c>
      <c r="C32" s="14" t="s">
        <v>220</v>
      </c>
      <c r="D32" s="14" t="s">
        <v>150</v>
      </c>
      <c r="E32" s="15" t="s">
        <v>6</v>
      </c>
      <c r="F32" s="32">
        <f>SUMIF(ING.ABROQUIMICOS[CODIGO],A31:A193,ING.ABROQUIMICOS[CANTIDAD])</f>
        <v>20</v>
      </c>
      <c r="G32" s="31">
        <f>SUMIF(SAL.AGROQUIMICOS[CodigoProducto],A31:A193,SAL.AGROQUIMICOS[Dosis])</f>
        <v>0</v>
      </c>
      <c r="H32" s="21">
        <f>INV.AGROQUIMICOS[[#This Row],[ENTRADAS ]]-INV.AGROQUIMICOS[[#This Row],[SALIDAS]]</f>
        <v>20</v>
      </c>
      <c r="I32" s="21">
        <v>14.5</v>
      </c>
      <c r="J32" s="43">
        <f>INV.AGROQUIMICOS[[#This Row],[STOCK ACTUAL]]*INV.AGROQUIMICOS[[#This Row],[PRECIOS UNITARIOS EN BS]]</f>
        <v>290</v>
      </c>
      <c r="K32" s="20"/>
      <c r="M32"/>
      <c r="N32"/>
      <c r="O32"/>
    </row>
    <row r="33" spans="1:15" ht="15.75" x14ac:dyDescent="0.25">
      <c r="A33" s="16" t="s">
        <v>40</v>
      </c>
      <c r="B33" s="17" t="s">
        <v>117</v>
      </c>
      <c r="C33" s="17" t="s">
        <v>221</v>
      </c>
      <c r="D33" s="14" t="s">
        <v>150</v>
      </c>
      <c r="E33" s="15" t="s">
        <v>6</v>
      </c>
      <c r="F33" s="32">
        <f>SUMIF(ING.ABROQUIMICOS[CODIGO],A32:A194,ING.ABROQUIMICOS[CANTIDAD])</f>
        <v>8.6200000000000045</v>
      </c>
      <c r="G33" s="31">
        <f>SUMIF(SAL.AGROQUIMICOS[CodigoProducto],A32:A194,SAL.AGROQUIMICOS[Dosis])</f>
        <v>0</v>
      </c>
      <c r="H33" s="21">
        <f>INV.AGROQUIMICOS[[#This Row],[ENTRADAS ]]-INV.AGROQUIMICOS[[#This Row],[SALIDAS]]</f>
        <v>8.6200000000000045</v>
      </c>
      <c r="I33" s="21">
        <v>55.68</v>
      </c>
      <c r="J33" s="43">
        <f>INV.AGROQUIMICOS[[#This Row],[STOCK ACTUAL]]*INV.AGROQUIMICOS[[#This Row],[PRECIOS UNITARIOS EN BS]]</f>
        <v>479.96160000000026</v>
      </c>
      <c r="K33" s="20"/>
      <c r="M33"/>
      <c r="N33"/>
      <c r="O33"/>
    </row>
    <row r="34" spans="1:15" ht="15.75" x14ac:dyDescent="0.25">
      <c r="A34" s="13" t="s">
        <v>41</v>
      </c>
      <c r="B34" s="14" t="s">
        <v>118</v>
      </c>
      <c r="C34" s="14" t="s">
        <v>222</v>
      </c>
      <c r="D34" s="14" t="s">
        <v>150</v>
      </c>
      <c r="E34" s="15" t="s">
        <v>6</v>
      </c>
      <c r="F34" s="32">
        <f>SUMIF(ING.ABROQUIMICOS[CODIGO],A33:A195,ING.ABROQUIMICOS[CANTIDAD])</f>
        <v>2</v>
      </c>
      <c r="G34" s="31">
        <f>SUMIF(SAL.AGROQUIMICOS[CodigoProducto],A33:A195,SAL.AGROQUIMICOS[Dosis])</f>
        <v>0</v>
      </c>
      <c r="H34" s="21">
        <f>INV.AGROQUIMICOS[[#This Row],[ENTRADAS ]]-INV.AGROQUIMICOS[[#This Row],[SALIDAS]]</f>
        <v>2</v>
      </c>
      <c r="I34" s="21">
        <v>556.79999999999995</v>
      </c>
      <c r="J34" s="43">
        <f>INV.AGROQUIMICOS[[#This Row],[STOCK ACTUAL]]*INV.AGROQUIMICOS[[#This Row],[PRECIOS UNITARIOS EN BS]]</f>
        <v>1113.5999999999999</v>
      </c>
      <c r="K34" s="20"/>
      <c r="M34"/>
      <c r="N34"/>
      <c r="O34"/>
    </row>
    <row r="35" spans="1:15" ht="15.75" x14ac:dyDescent="0.25">
      <c r="A35" s="16" t="s">
        <v>42</v>
      </c>
      <c r="B35" s="17" t="s">
        <v>119</v>
      </c>
      <c r="C35" s="17" t="s">
        <v>223</v>
      </c>
      <c r="D35" s="14" t="s">
        <v>150</v>
      </c>
      <c r="E35" s="15" t="s">
        <v>6</v>
      </c>
      <c r="F35" s="32">
        <f>SUMIF(ING.ABROQUIMICOS[CODIGO],A34:A196,ING.ABROQUIMICOS[CANTIDAD])</f>
        <v>20</v>
      </c>
      <c r="G35" s="31">
        <f>SUMIF(SAL.AGROQUIMICOS[CodigoProducto],A34:A196,SAL.AGROQUIMICOS[Dosis])</f>
        <v>0</v>
      </c>
      <c r="H35" s="21">
        <f>INV.AGROQUIMICOS[[#This Row],[ENTRADAS ]]-INV.AGROQUIMICOS[[#This Row],[SALIDAS]]</f>
        <v>20</v>
      </c>
      <c r="I35" s="21">
        <v>39.156959999999998</v>
      </c>
      <c r="J35" s="43">
        <f>INV.AGROQUIMICOS[[#This Row],[STOCK ACTUAL]]*INV.AGROQUIMICOS[[#This Row],[PRECIOS UNITARIOS EN BS]]</f>
        <v>783.13919999999996</v>
      </c>
      <c r="K35" s="20"/>
      <c r="M35"/>
      <c r="N35"/>
      <c r="O35"/>
    </row>
    <row r="36" spans="1:15" ht="15.75" x14ac:dyDescent="0.25">
      <c r="A36" s="13" t="s">
        <v>43</v>
      </c>
      <c r="B36" s="14" t="s">
        <v>120</v>
      </c>
      <c r="C36" s="14" t="s">
        <v>224</v>
      </c>
      <c r="D36" s="14" t="s">
        <v>150</v>
      </c>
      <c r="E36" s="15" t="s">
        <v>6</v>
      </c>
      <c r="F36" s="32">
        <f>SUMIF(ING.ABROQUIMICOS[CODIGO],A35:A197,ING.ABROQUIMICOS[CANTIDAD])</f>
        <v>4469.5</v>
      </c>
      <c r="G36" s="31">
        <f>SUMIF(SAL.AGROQUIMICOS[CodigoProducto],A35:A197,SAL.AGROQUIMICOS[Dosis])</f>
        <v>0</v>
      </c>
      <c r="H36" s="21">
        <f>INV.AGROQUIMICOS[[#This Row],[ENTRADAS ]]-INV.AGROQUIMICOS[[#This Row],[SALIDAS]]</f>
        <v>4469.5</v>
      </c>
      <c r="I36" s="21">
        <v>1.357</v>
      </c>
      <c r="J36" s="43">
        <f>INV.AGROQUIMICOS[[#This Row],[STOCK ACTUAL]]*INV.AGROQUIMICOS[[#This Row],[PRECIOS UNITARIOS EN BS]]</f>
        <v>6065.1115</v>
      </c>
      <c r="K36" s="20"/>
      <c r="M36"/>
      <c r="N36"/>
      <c r="O36"/>
    </row>
    <row r="37" spans="1:15" ht="15.75" x14ac:dyDescent="0.25">
      <c r="A37" s="16" t="s">
        <v>44</v>
      </c>
      <c r="B37" s="17" t="s">
        <v>121</v>
      </c>
      <c r="C37" s="17" t="s">
        <v>225</v>
      </c>
      <c r="D37" s="14" t="s">
        <v>150</v>
      </c>
      <c r="E37" s="15" t="s">
        <v>9</v>
      </c>
      <c r="F37" s="32">
        <f>SUMIF(ING.ABROQUIMICOS[CODIGO],A36:A198,ING.ABROQUIMICOS[CANTIDAD])</f>
        <v>15</v>
      </c>
      <c r="G37" s="31">
        <f>SUMIF(SAL.AGROQUIMICOS[CodigoProducto],A36:A198,SAL.AGROQUIMICOS[Dosis])</f>
        <v>0</v>
      </c>
      <c r="H37" s="21">
        <f>INV.AGROQUIMICOS[[#This Row],[ENTRADAS ]]-INV.AGROQUIMICOS[[#This Row],[SALIDAS]]</f>
        <v>15</v>
      </c>
      <c r="I37" s="21">
        <v>156.6</v>
      </c>
      <c r="J37" s="43">
        <f>INV.AGROQUIMICOS[[#This Row],[STOCK ACTUAL]]*INV.AGROQUIMICOS[[#This Row],[PRECIOS UNITARIOS EN BS]]</f>
        <v>2349</v>
      </c>
      <c r="K37" s="20"/>
      <c r="M37"/>
      <c r="N37"/>
      <c r="O37"/>
    </row>
    <row r="38" spans="1:15" ht="15.75" x14ac:dyDescent="0.25">
      <c r="A38" s="13" t="s">
        <v>45</v>
      </c>
      <c r="B38" s="14" t="s">
        <v>122</v>
      </c>
      <c r="C38" s="14" t="s">
        <v>226</v>
      </c>
      <c r="D38" s="14" t="s">
        <v>150</v>
      </c>
      <c r="E38" s="15" t="s">
        <v>9</v>
      </c>
      <c r="F38" s="32">
        <f>SUMIF(ING.ABROQUIMICOS[CODIGO],A37:A199,ING.ABROQUIMICOS[CANTIDAD])</f>
        <v>1</v>
      </c>
      <c r="G38" s="31">
        <f>SUMIF(SAL.AGROQUIMICOS[CodigoProducto],A37:A199,SAL.AGROQUIMICOS[Dosis])</f>
        <v>0</v>
      </c>
      <c r="H38" s="21">
        <f>INV.AGROQUIMICOS[[#This Row],[ENTRADAS ]]-INV.AGROQUIMICOS[[#This Row],[SALIDAS]]</f>
        <v>1</v>
      </c>
      <c r="I38" s="21">
        <v>361.92</v>
      </c>
      <c r="J38" s="43">
        <f>INV.AGROQUIMICOS[[#This Row],[STOCK ACTUAL]]*INV.AGROQUIMICOS[[#This Row],[PRECIOS UNITARIOS EN BS]]</f>
        <v>361.92</v>
      </c>
      <c r="K38" s="20"/>
      <c r="M38"/>
      <c r="N38"/>
      <c r="O38"/>
    </row>
    <row r="39" spans="1:15" ht="15.75" x14ac:dyDescent="0.25">
      <c r="A39" s="16" t="s">
        <v>46</v>
      </c>
      <c r="B39" s="17" t="s">
        <v>123</v>
      </c>
      <c r="C39" s="17" t="s">
        <v>227</v>
      </c>
      <c r="D39" s="14" t="s">
        <v>150</v>
      </c>
      <c r="E39" s="15" t="s">
        <v>9</v>
      </c>
      <c r="F39" s="32">
        <f>SUMIF(ING.ABROQUIMICOS[CODIGO],A38:A200,ING.ABROQUIMICOS[CANTIDAD])</f>
        <v>20</v>
      </c>
      <c r="G39" s="31">
        <f>SUMIF(SAL.AGROQUIMICOS[CodigoProducto],A38:A200,SAL.AGROQUIMICOS[Dosis])</f>
        <v>0</v>
      </c>
      <c r="H39" s="21">
        <f>INV.AGROQUIMICOS[[#This Row],[ENTRADAS ]]-INV.AGROQUIMICOS[[#This Row],[SALIDAS]]</f>
        <v>20</v>
      </c>
      <c r="I39" s="21">
        <v>205.32</v>
      </c>
      <c r="J39" s="43">
        <f>INV.AGROQUIMICOS[[#This Row],[STOCK ACTUAL]]*INV.AGROQUIMICOS[[#This Row],[PRECIOS UNITARIOS EN BS]]</f>
        <v>4106.3999999999996</v>
      </c>
      <c r="K39" s="20"/>
      <c r="M39"/>
      <c r="N39"/>
      <c r="O39"/>
    </row>
    <row r="40" spans="1:15" ht="15.75" x14ac:dyDescent="0.25">
      <c r="A40" s="13" t="s">
        <v>47</v>
      </c>
      <c r="B40" s="14" t="s">
        <v>124</v>
      </c>
      <c r="C40" s="14" t="s">
        <v>228</v>
      </c>
      <c r="D40" s="14" t="s">
        <v>151</v>
      </c>
      <c r="E40" s="15" t="s">
        <v>9</v>
      </c>
      <c r="F40" s="32">
        <f>SUMIF(ING.ABROQUIMICOS[CODIGO],A39:A201,ING.ABROQUIMICOS[CANTIDAD])</f>
        <v>20</v>
      </c>
      <c r="G40" s="31">
        <f>SUMIF(SAL.AGROQUIMICOS[CodigoProducto],A39:A201,SAL.AGROQUIMICOS[Dosis])</f>
        <v>0</v>
      </c>
      <c r="H40" s="21">
        <f>INV.AGROQUIMICOS[[#This Row],[ENTRADAS ]]-INV.AGROQUIMICOS[[#This Row],[SALIDAS]]</f>
        <v>20</v>
      </c>
      <c r="I40" s="21">
        <v>192.096</v>
      </c>
      <c r="J40" s="43">
        <f>INV.AGROQUIMICOS[[#This Row],[STOCK ACTUAL]]*INV.AGROQUIMICOS[[#This Row],[PRECIOS UNITARIOS EN BS]]</f>
        <v>3841.92</v>
      </c>
      <c r="K40" s="20"/>
      <c r="M40"/>
      <c r="N40"/>
      <c r="O40"/>
    </row>
    <row r="41" spans="1:15" ht="15.75" x14ac:dyDescent="0.25">
      <c r="A41" s="16" t="s">
        <v>48</v>
      </c>
      <c r="B41" s="17" t="s">
        <v>125</v>
      </c>
      <c r="C41" s="17" t="s">
        <v>229</v>
      </c>
      <c r="D41" s="14" t="s">
        <v>150</v>
      </c>
      <c r="E41" s="15" t="s">
        <v>9</v>
      </c>
      <c r="F41" s="32">
        <f>SUMIF(ING.ABROQUIMICOS[CODIGO],A40:A202,ING.ABROQUIMICOS[CANTIDAD])</f>
        <v>104</v>
      </c>
      <c r="G41" s="31">
        <f>SUMIF(SAL.AGROQUIMICOS[CodigoProducto],A40:A202,SAL.AGROQUIMICOS[Dosis])</f>
        <v>0</v>
      </c>
      <c r="H41" s="21">
        <f>INV.AGROQUIMICOS[[#This Row],[ENTRADAS ]]-INV.AGROQUIMICOS[[#This Row],[SALIDAS]]</f>
        <v>104</v>
      </c>
      <c r="I41" s="21">
        <v>71.688000000000002</v>
      </c>
      <c r="J41" s="43">
        <f>INV.AGROQUIMICOS[[#This Row],[STOCK ACTUAL]]*INV.AGROQUIMICOS[[#This Row],[PRECIOS UNITARIOS EN BS]]</f>
        <v>7455.5520000000006</v>
      </c>
      <c r="K41" s="20"/>
      <c r="M41"/>
      <c r="N41"/>
      <c r="O41"/>
    </row>
    <row r="42" spans="1:15" ht="15.75" x14ac:dyDescent="0.25">
      <c r="A42" s="13" t="s">
        <v>49</v>
      </c>
      <c r="B42" s="14" t="s">
        <v>126</v>
      </c>
      <c r="C42" s="14" t="s">
        <v>230</v>
      </c>
      <c r="D42" s="14" t="s">
        <v>150</v>
      </c>
      <c r="E42" s="15" t="s">
        <v>9</v>
      </c>
      <c r="F42" s="32">
        <f>SUMIF(ING.ABROQUIMICOS[CODIGO],A41:A203,ING.ABROQUIMICOS[CANTIDAD])</f>
        <v>3</v>
      </c>
      <c r="G42" s="31">
        <f>SUMIF(SAL.AGROQUIMICOS[CodigoProducto],A41:A203,SAL.AGROQUIMICOS[Dosis])</f>
        <v>0</v>
      </c>
      <c r="H42" s="21">
        <f>INV.AGROQUIMICOS[[#This Row],[ENTRADAS ]]-INV.AGROQUIMICOS[[#This Row],[SALIDAS]]</f>
        <v>3</v>
      </c>
      <c r="I42" s="21">
        <v>135.72</v>
      </c>
      <c r="J42" s="43">
        <f>INV.AGROQUIMICOS[[#This Row],[STOCK ACTUAL]]*INV.AGROQUIMICOS[[#This Row],[PRECIOS UNITARIOS EN BS]]</f>
        <v>407.15999999999997</v>
      </c>
      <c r="K42" s="20"/>
      <c r="M42"/>
      <c r="N42"/>
      <c r="O42"/>
    </row>
    <row r="43" spans="1:15" ht="15.75" x14ac:dyDescent="0.25">
      <c r="A43" s="16" t="s">
        <v>50</v>
      </c>
      <c r="B43" s="17" t="s">
        <v>3</v>
      </c>
      <c r="C43" s="17" t="s">
        <v>231</v>
      </c>
      <c r="D43" s="14" t="s">
        <v>151</v>
      </c>
      <c r="E43" s="15" t="s">
        <v>9</v>
      </c>
      <c r="F43" s="32">
        <f>SUMIF(ING.ABROQUIMICOS[CODIGO],A42:A204,ING.ABROQUIMICOS[CANTIDAD])</f>
        <v>747.8</v>
      </c>
      <c r="G43" s="31">
        <f>SUMIF(SAL.AGROQUIMICOS[CodigoProducto],A42:A204,SAL.AGROQUIMICOS[Dosis])</f>
        <v>0</v>
      </c>
      <c r="H43" s="21">
        <f>INV.AGROQUIMICOS[[#This Row],[ENTRADAS ]]-INV.AGROQUIMICOS[[#This Row],[SALIDAS]]</f>
        <v>747.8</v>
      </c>
      <c r="I43" s="21">
        <v>146.16</v>
      </c>
      <c r="J43" s="43">
        <f>INV.AGROQUIMICOS[[#This Row],[STOCK ACTUAL]]*INV.AGROQUIMICOS[[#This Row],[PRECIOS UNITARIOS EN BS]]</f>
        <v>109298.44799999999</v>
      </c>
      <c r="K43" s="20"/>
      <c r="M43"/>
      <c r="N43"/>
      <c r="O43"/>
    </row>
    <row r="44" spans="1:15" ht="15.75" x14ac:dyDescent="0.25">
      <c r="A44" s="13" t="s">
        <v>51</v>
      </c>
      <c r="B44" s="14" t="s">
        <v>127</v>
      </c>
      <c r="C44" s="14" t="s">
        <v>232</v>
      </c>
      <c r="D44" s="14" t="s">
        <v>151</v>
      </c>
      <c r="E44" s="15" t="s">
        <v>9</v>
      </c>
      <c r="F44" s="32">
        <f>SUMIF(ING.ABROQUIMICOS[CODIGO],A43:A205,ING.ABROQUIMICOS[CANTIDAD])</f>
        <v>45</v>
      </c>
      <c r="G44" s="31">
        <f>SUMIF(SAL.AGROQUIMICOS[CodigoProducto],A43:A205,SAL.AGROQUIMICOS[Dosis])</f>
        <v>0</v>
      </c>
      <c r="H44" s="21">
        <f>INV.AGROQUIMICOS[[#This Row],[ENTRADAS ]]-INV.AGROQUIMICOS[[#This Row],[SALIDAS]]</f>
        <v>45</v>
      </c>
      <c r="I44" s="21">
        <v>715.20960000000002</v>
      </c>
      <c r="J44" s="43">
        <f>INV.AGROQUIMICOS[[#This Row],[STOCK ACTUAL]]*INV.AGROQUIMICOS[[#This Row],[PRECIOS UNITARIOS EN BS]]</f>
        <v>32184.432000000001</v>
      </c>
      <c r="K44" s="20"/>
      <c r="M44"/>
      <c r="N44"/>
      <c r="O44"/>
    </row>
    <row r="45" spans="1:15" ht="15.75" x14ac:dyDescent="0.25">
      <c r="A45" s="16" t="s">
        <v>52</v>
      </c>
      <c r="B45" s="17" t="s">
        <v>128</v>
      </c>
      <c r="C45" s="17" t="s">
        <v>233</v>
      </c>
      <c r="D45" s="14" t="s">
        <v>151</v>
      </c>
      <c r="E45" s="15" t="s">
        <v>9</v>
      </c>
      <c r="F45" s="32">
        <f>SUMIF(ING.ABROQUIMICOS[CODIGO],A44:A206,ING.ABROQUIMICOS[CANTIDAD])</f>
        <v>5</v>
      </c>
      <c r="G45" s="31">
        <f>SUMIF(SAL.AGROQUIMICOS[CodigoProducto],A44:A206,SAL.AGROQUIMICOS[Dosis])</f>
        <v>0</v>
      </c>
      <c r="H45" s="21">
        <f>INV.AGROQUIMICOS[[#This Row],[ENTRADAS ]]-INV.AGROQUIMICOS[[#This Row],[SALIDAS]]</f>
        <v>5</v>
      </c>
      <c r="I45" s="21"/>
      <c r="J45" s="43">
        <f>INV.AGROQUIMICOS[[#This Row],[STOCK ACTUAL]]*INV.AGROQUIMICOS[[#This Row],[PRECIOS UNITARIOS EN BS]]</f>
        <v>0</v>
      </c>
      <c r="K45" s="20"/>
      <c r="M45"/>
      <c r="N45"/>
      <c r="O45"/>
    </row>
    <row r="46" spans="1:15" ht="15.75" x14ac:dyDescent="0.25">
      <c r="A46" s="13" t="s">
        <v>53</v>
      </c>
      <c r="B46" s="14" t="s">
        <v>129</v>
      </c>
      <c r="C46" s="14" t="s">
        <v>234</v>
      </c>
      <c r="D46" s="14" t="s">
        <v>150</v>
      </c>
      <c r="E46" s="15" t="s">
        <v>9</v>
      </c>
      <c r="F46" s="32">
        <f>SUMIF(ING.ABROQUIMICOS[CODIGO],A45:A207,ING.ABROQUIMICOS[CANTIDAD])</f>
        <v>4</v>
      </c>
      <c r="G46" s="31">
        <f>SUMIF(SAL.AGROQUIMICOS[CodigoProducto],A45:A207,SAL.AGROQUIMICOS[Dosis])</f>
        <v>0</v>
      </c>
      <c r="H46" s="21">
        <f>INV.AGROQUIMICOS[[#This Row],[ENTRADAS ]]-INV.AGROQUIMICOS[[#This Row],[SALIDAS]]</f>
        <v>4</v>
      </c>
      <c r="I46" s="21">
        <v>20.88</v>
      </c>
      <c r="J46" s="43">
        <f>INV.AGROQUIMICOS[[#This Row],[STOCK ACTUAL]]*INV.AGROQUIMICOS[[#This Row],[PRECIOS UNITARIOS EN BS]]</f>
        <v>83.52</v>
      </c>
      <c r="K46" s="20"/>
      <c r="M46"/>
      <c r="N46"/>
      <c r="O46"/>
    </row>
    <row r="47" spans="1:15" ht="15.75" x14ac:dyDescent="0.25">
      <c r="A47" s="16" t="s">
        <v>54</v>
      </c>
      <c r="B47" s="17" t="s">
        <v>130</v>
      </c>
      <c r="C47" s="17" t="s">
        <v>235</v>
      </c>
      <c r="D47" s="14" t="s">
        <v>150</v>
      </c>
      <c r="E47" s="15" t="s">
        <v>9</v>
      </c>
      <c r="F47" s="32">
        <f>SUMIF(ING.ABROQUIMICOS[CODIGO],A46:A208,ING.ABROQUIMICOS[CANTIDAD])</f>
        <v>17</v>
      </c>
      <c r="G47" s="31">
        <f>SUMIF(SAL.AGROQUIMICOS[CodigoProducto],A46:A208,SAL.AGROQUIMICOS[Dosis])</f>
        <v>0</v>
      </c>
      <c r="H47" s="21">
        <f>INV.AGROQUIMICOS[[#This Row],[ENTRADAS ]]-INV.AGROQUIMICOS[[#This Row],[SALIDAS]]</f>
        <v>17</v>
      </c>
      <c r="I47" s="21">
        <v>765.6</v>
      </c>
      <c r="J47" s="43">
        <f>INV.AGROQUIMICOS[[#This Row],[STOCK ACTUAL]]*INV.AGROQUIMICOS[[#This Row],[PRECIOS UNITARIOS EN BS]]</f>
        <v>13015.2</v>
      </c>
      <c r="K47" s="20"/>
      <c r="M47"/>
      <c r="N47"/>
      <c r="O47"/>
    </row>
    <row r="48" spans="1:15" ht="15.75" x14ac:dyDescent="0.25">
      <c r="A48" s="13" t="s">
        <v>55</v>
      </c>
      <c r="B48" s="14" t="s">
        <v>131</v>
      </c>
      <c r="C48" s="14" t="s">
        <v>236</v>
      </c>
      <c r="D48" s="14" t="s">
        <v>150</v>
      </c>
      <c r="E48" s="15" t="s">
        <v>157</v>
      </c>
      <c r="F48" s="32">
        <f>SUMIF(ING.ABROQUIMICOS[CODIGO],A47:A209,ING.ABROQUIMICOS[CANTIDAD])</f>
        <v>65</v>
      </c>
      <c r="G48" s="31">
        <f>SUMIF(SAL.AGROQUIMICOS[CodigoProducto],A47:A209,SAL.AGROQUIMICOS[Dosis])</f>
        <v>0</v>
      </c>
      <c r="H48" s="21">
        <f>INV.AGROQUIMICOS[[#This Row],[ENTRADAS ]]-INV.AGROQUIMICOS[[#This Row],[SALIDAS]]</f>
        <v>65</v>
      </c>
      <c r="I48" s="21">
        <v>1316.14</v>
      </c>
      <c r="J48" s="43">
        <f>INV.AGROQUIMICOS[[#This Row],[STOCK ACTUAL]]*INV.AGROQUIMICOS[[#This Row],[PRECIOS UNITARIOS EN BS]]</f>
        <v>85549.1</v>
      </c>
      <c r="K48" s="20"/>
      <c r="M48"/>
      <c r="N48"/>
      <c r="O48"/>
    </row>
    <row r="49" spans="1:15" ht="15.75" x14ac:dyDescent="0.25">
      <c r="A49" s="16" t="s">
        <v>56</v>
      </c>
      <c r="B49" s="17" t="s">
        <v>132</v>
      </c>
      <c r="C49" s="17" t="s">
        <v>237</v>
      </c>
      <c r="D49" s="14" t="s">
        <v>150</v>
      </c>
      <c r="E49" s="15" t="s">
        <v>9</v>
      </c>
      <c r="F49" s="32">
        <f>SUMIF(ING.ABROQUIMICOS[CODIGO],A48:A210,ING.ABROQUIMICOS[CANTIDAD])</f>
        <v>20</v>
      </c>
      <c r="G49" s="31">
        <f>SUMIF(SAL.AGROQUIMICOS[CodigoProducto],A48:A210,SAL.AGROQUIMICOS[Dosis])</f>
        <v>0</v>
      </c>
      <c r="H49" s="21">
        <f>INV.AGROQUIMICOS[[#This Row],[ENTRADAS ]]-INV.AGROQUIMICOS[[#This Row],[SALIDAS]]</f>
        <v>20</v>
      </c>
      <c r="I49" s="21">
        <v>153.12</v>
      </c>
      <c r="J49" s="43">
        <f>INV.AGROQUIMICOS[[#This Row],[STOCK ACTUAL]]*INV.AGROQUIMICOS[[#This Row],[PRECIOS UNITARIOS EN BS]]</f>
        <v>3062.4</v>
      </c>
      <c r="K49" s="20"/>
      <c r="M49"/>
      <c r="N49"/>
      <c r="O49"/>
    </row>
    <row r="50" spans="1:15" ht="15.75" x14ac:dyDescent="0.25">
      <c r="A50" s="13" t="s">
        <v>57</v>
      </c>
      <c r="B50" s="14" t="s">
        <v>133</v>
      </c>
      <c r="C50" s="14" t="s">
        <v>238</v>
      </c>
      <c r="D50" s="14" t="s">
        <v>150</v>
      </c>
      <c r="E50" s="15" t="s">
        <v>158</v>
      </c>
      <c r="F50" s="32">
        <f>SUMIF(ING.ABROQUIMICOS[CODIGO],A49:A211,ING.ABROQUIMICOS[CANTIDAD])</f>
        <v>45</v>
      </c>
      <c r="G50" s="31">
        <f>SUMIF(SAL.AGROQUIMICOS[CodigoProducto],A49:A211,SAL.AGROQUIMICOS[Dosis])</f>
        <v>0</v>
      </c>
      <c r="H50" s="21">
        <f>INV.AGROQUIMICOS[[#This Row],[ENTRADAS ]]-INV.AGROQUIMICOS[[#This Row],[SALIDAS]]</f>
        <v>45</v>
      </c>
      <c r="I50" s="21">
        <v>125.28</v>
      </c>
      <c r="J50" s="43">
        <f>INV.AGROQUIMICOS[[#This Row],[STOCK ACTUAL]]*INV.AGROQUIMICOS[[#This Row],[PRECIOS UNITARIOS EN BS]]</f>
        <v>5637.6</v>
      </c>
      <c r="K50" s="20"/>
      <c r="M50"/>
      <c r="N50"/>
      <c r="O50"/>
    </row>
    <row r="51" spans="1:15" ht="15.75" x14ac:dyDescent="0.25">
      <c r="A51" s="16" t="s">
        <v>58</v>
      </c>
      <c r="B51" s="17" t="s">
        <v>134</v>
      </c>
      <c r="C51" s="17" t="s">
        <v>239</v>
      </c>
      <c r="D51" s="14" t="s">
        <v>150</v>
      </c>
      <c r="E51" s="15" t="s">
        <v>337</v>
      </c>
      <c r="F51" s="32">
        <f>SUMIF(ING.ABROQUIMICOS[CODIGO],A50:A212,ING.ABROQUIMICOS[CANTIDAD])</f>
        <v>10</v>
      </c>
      <c r="G51" s="31">
        <f>SUMIF(SAL.AGROQUIMICOS[CodigoProducto],A50:A212,SAL.AGROQUIMICOS[Dosis])</f>
        <v>0</v>
      </c>
      <c r="H51" s="21">
        <f>INV.AGROQUIMICOS[[#This Row],[ENTRADAS ]]-INV.AGROQUIMICOS[[#This Row],[SALIDAS]]</f>
        <v>10</v>
      </c>
      <c r="I51" s="21">
        <v>194.88</v>
      </c>
      <c r="J51" s="43">
        <f>INV.AGROQUIMICOS[[#This Row],[STOCK ACTUAL]]*INV.AGROQUIMICOS[[#This Row],[PRECIOS UNITARIOS EN BS]]</f>
        <v>1948.8</v>
      </c>
      <c r="K51" s="20"/>
      <c r="M51"/>
      <c r="N51"/>
      <c r="O51"/>
    </row>
    <row r="52" spans="1:15" ht="15.75" x14ac:dyDescent="0.25">
      <c r="A52" s="13" t="s">
        <v>59</v>
      </c>
      <c r="B52" s="14" t="s">
        <v>135</v>
      </c>
      <c r="C52" s="14" t="s">
        <v>240</v>
      </c>
      <c r="D52" s="14" t="s">
        <v>150</v>
      </c>
      <c r="E52" s="15" t="s">
        <v>9</v>
      </c>
      <c r="F52" s="32">
        <f>SUMIF(ING.ABROQUIMICOS[CODIGO],A51:A213,ING.ABROQUIMICOS[CANTIDAD])</f>
        <v>31.25</v>
      </c>
      <c r="G52" s="31">
        <f>SUMIF(SAL.AGROQUIMICOS[CodigoProducto],A51:A213,SAL.AGROQUIMICOS[Dosis])</f>
        <v>0</v>
      </c>
      <c r="H52" s="21">
        <f>INV.AGROQUIMICOS[[#This Row],[ENTRADAS ]]-INV.AGROQUIMICOS[[#This Row],[SALIDAS]]</f>
        <v>31.25</v>
      </c>
      <c r="I52" s="21">
        <v>15.311999999999999</v>
      </c>
      <c r="J52" s="43">
        <f>INV.AGROQUIMICOS[[#This Row],[STOCK ACTUAL]]*INV.AGROQUIMICOS[[#This Row],[PRECIOS UNITARIOS EN BS]]</f>
        <v>478.5</v>
      </c>
      <c r="K52" s="20"/>
      <c r="M52"/>
      <c r="N52"/>
      <c r="O52"/>
    </row>
    <row r="53" spans="1:15" ht="15.75" x14ac:dyDescent="0.25">
      <c r="A53" s="16" t="s">
        <v>60</v>
      </c>
      <c r="B53" s="17" t="s">
        <v>4</v>
      </c>
      <c r="C53" s="17" t="s">
        <v>241</v>
      </c>
      <c r="D53" s="14" t="s">
        <v>150</v>
      </c>
      <c r="E53" s="15" t="s">
        <v>9</v>
      </c>
      <c r="F53" s="32">
        <f>SUMIF(ING.ABROQUIMICOS[CODIGO],A52:A214,ING.ABROQUIMICOS[CANTIDAD])</f>
        <v>268.70000000000005</v>
      </c>
      <c r="G53" s="31">
        <f>SUMIF(SAL.AGROQUIMICOS[CodigoProducto],A52:A214,SAL.AGROQUIMICOS[Dosis])</f>
        <v>0</v>
      </c>
      <c r="H53" s="21">
        <f>INV.AGROQUIMICOS[[#This Row],[ENTRADAS ]]-INV.AGROQUIMICOS[[#This Row],[SALIDAS]]</f>
        <v>268.70000000000005</v>
      </c>
      <c r="I53" s="21">
        <v>34.799999999999997</v>
      </c>
      <c r="J53" s="43">
        <f>INV.AGROQUIMICOS[[#This Row],[STOCK ACTUAL]]*INV.AGROQUIMICOS[[#This Row],[PRECIOS UNITARIOS EN BS]]</f>
        <v>9350.76</v>
      </c>
      <c r="K53" s="20"/>
      <c r="M53"/>
      <c r="N53"/>
      <c r="O53"/>
    </row>
    <row r="54" spans="1:15" ht="15.75" x14ac:dyDescent="0.25">
      <c r="A54" s="13" t="s">
        <v>61</v>
      </c>
      <c r="B54" s="14" t="s">
        <v>136</v>
      </c>
      <c r="C54" s="14" t="s">
        <v>242</v>
      </c>
      <c r="D54" s="14" t="s">
        <v>151</v>
      </c>
      <c r="E54" s="15" t="s">
        <v>6</v>
      </c>
      <c r="F54" s="32">
        <f>SUMIF(ING.ABROQUIMICOS[CODIGO],A53:A215,ING.ABROQUIMICOS[CANTIDAD])</f>
        <v>5.4500000000000028</v>
      </c>
      <c r="G54" s="31">
        <f>SUMIF(SAL.AGROQUIMICOS[CodigoProducto],A53:A215,SAL.AGROQUIMICOS[Dosis])</f>
        <v>0</v>
      </c>
      <c r="H54" s="21">
        <f>INV.AGROQUIMICOS[[#This Row],[ENTRADAS ]]-INV.AGROQUIMICOS[[#This Row],[SALIDAS]]</f>
        <v>5.4500000000000028</v>
      </c>
      <c r="I54" s="21">
        <v>125.28</v>
      </c>
      <c r="J54" s="43">
        <f>INV.AGROQUIMICOS[[#This Row],[STOCK ACTUAL]]*INV.AGROQUIMICOS[[#This Row],[PRECIOS UNITARIOS EN BS]]</f>
        <v>682.77600000000041</v>
      </c>
      <c r="K54" s="20"/>
      <c r="M54"/>
      <c r="N54"/>
      <c r="O54"/>
    </row>
    <row r="55" spans="1:15" ht="15.75" x14ac:dyDescent="0.25">
      <c r="A55" s="16" t="s">
        <v>62</v>
      </c>
      <c r="B55" s="17" t="s">
        <v>137</v>
      </c>
      <c r="C55" s="17" t="s">
        <v>243</v>
      </c>
      <c r="D55" s="14" t="s">
        <v>150</v>
      </c>
      <c r="E55" s="15" t="s">
        <v>9</v>
      </c>
      <c r="F55" s="32">
        <f>SUMIF(ING.ABROQUIMICOS[CODIGO],A54:A216,ING.ABROQUIMICOS[CANTIDAD])</f>
        <v>24</v>
      </c>
      <c r="G55" s="31">
        <f>SUMIF(SAL.AGROQUIMICOS[CodigoProducto],A54:A216,SAL.AGROQUIMICOS[Dosis])</f>
        <v>0</v>
      </c>
      <c r="H55" s="21">
        <f>INV.AGROQUIMICOS[[#This Row],[ENTRADAS ]]-INV.AGROQUIMICOS[[#This Row],[SALIDAS]]</f>
        <v>24</v>
      </c>
      <c r="I55" s="21"/>
      <c r="J55" s="43">
        <f>INV.AGROQUIMICOS[[#This Row],[STOCK ACTUAL]]*INV.AGROQUIMICOS[[#This Row],[PRECIOS UNITARIOS EN BS]]</f>
        <v>0</v>
      </c>
      <c r="K55" s="20"/>
      <c r="M55"/>
      <c r="N55"/>
      <c r="O55"/>
    </row>
    <row r="56" spans="1:15" ht="15.75" x14ac:dyDescent="0.25">
      <c r="A56" s="13" t="s">
        <v>63</v>
      </c>
      <c r="B56" s="14" t="s">
        <v>138</v>
      </c>
      <c r="C56" s="14" t="s">
        <v>244</v>
      </c>
      <c r="D56" s="14" t="s">
        <v>150</v>
      </c>
      <c r="E56" s="15" t="s">
        <v>9</v>
      </c>
      <c r="F56" s="32">
        <f>SUMIF(ING.ABROQUIMICOS[CODIGO],A55:A217,ING.ABROQUIMICOS[CANTIDAD])</f>
        <v>20.5</v>
      </c>
      <c r="G56" s="31">
        <f>SUMIF(SAL.AGROQUIMICOS[CodigoProducto],A55:A217,SAL.AGROQUIMICOS[Dosis])</f>
        <v>0</v>
      </c>
      <c r="H56" s="21">
        <f>INV.AGROQUIMICOS[[#This Row],[ENTRADAS ]]-INV.AGROQUIMICOS[[#This Row],[SALIDAS]]</f>
        <v>20.5</v>
      </c>
      <c r="I56" s="21">
        <v>90.48</v>
      </c>
      <c r="J56" s="43">
        <f>INV.AGROQUIMICOS[[#This Row],[STOCK ACTUAL]]*INV.AGROQUIMICOS[[#This Row],[PRECIOS UNITARIOS EN BS]]</f>
        <v>1854.8400000000001</v>
      </c>
      <c r="K56" s="20"/>
      <c r="M56"/>
      <c r="N56"/>
      <c r="O56"/>
    </row>
    <row r="57" spans="1:15" ht="15.75" x14ac:dyDescent="0.25">
      <c r="A57" s="16" t="s">
        <v>64</v>
      </c>
      <c r="B57" s="17" t="s">
        <v>139</v>
      </c>
      <c r="C57" s="17" t="s">
        <v>245</v>
      </c>
      <c r="D57" s="14" t="s">
        <v>150</v>
      </c>
      <c r="E57" s="15" t="s">
        <v>10</v>
      </c>
      <c r="F57" s="32">
        <f>SUMIF(ING.ABROQUIMICOS[CODIGO],A56:A218,ING.ABROQUIMICOS[CANTIDAD])</f>
        <v>30</v>
      </c>
      <c r="G57" s="31">
        <f>SUMIF(SAL.AGROQUIMICOS[CodigoProducto],A56:A218,SAL.AGROQUIMICOS[Dosis])</f>
        <v>0</v>
      </c>
      <c r="H57" s="21">
        <f>INV.AGROQUIMICOS[[#This Row],[ENTRADAS ]]-INV.AGROQUIMICOS[[#This Row],[SALIDAS]]</f>
        <v>30</v>
      </c>
      <c r="I57" s="21"/>
      <c r="J57" s="43">
        <f>INV.AGROQUIMICOS[[#This Row],[STOCK ACTUAL]]*INV.AGROQUIMICOS[[#This Row],[PRECIOS UNITARIOS EN BS]]</f>
        <v>0</v>
      </c>
      <c r="K57" s="20"/>
      <c r="M57"/>
      <c r="N57"/>
      <c r="O57"/>
    </row>
    <row r="58" spans="1:15" ht="15.75" x14ac:dyDescent="0.25">
      <c r="A58" s="13" t="s">
        <v>65</v>
      </c>
      <c r="B58" s="14" t="s">
        <v>140</v>
      </c>
      <c r="C58" s="14" t="s">
        <v>246</v>
      </c>
      <c r="D58" s="14" t="s">
        <v>151</v>
      </c>
      <c r="E58" s="15" t="s">
        <v>338</v>
      </c>
      <c r="F58" s="32">
        <f>SUMIF(ING.ABROQUIMICOS[CODIGO],A57:A219,ING.ABROQUIMICOS[CANTIDAD])</f>
        <v>23.7</v>
      </c>
      <c r="G58" s="31">
        <f>SUMIF(SAL.AGROQUIMICOS[CodigoProducto],A57:A219,SAL.AGROQUIMICOS[Dosis])</f>
        <v>0</v>
      </c>
      <c r="H58" s="21">
        <f>INV.AGROQUIMICOS[[#This Row],[ENTRADAS ]]-INV.AGROQUIMICOS[[#This Row],[SALIDAS]]</f>
        <v>23.7</v>
      </c>
      <c r="I58" s="21">
        <v>278.39999999999998</v>
      </c>
      <c r="J58" s="43">
        <f>INV.AGROQUIMICOS[[#This Row],[STOCK ACTUAL]]*INV.AGROQUIMICOS[[#This Row],[PRECIOS UNITARIOS EN BS]]</f>
        <v>6598.079999999999</v>
      </c>
      <c r="K58" s="20"/>
      <c r="M58"/>
      <c r="N58"/>
      <c r="O58"/>
    </row>
    <row r="59" spans="1:15" ht="15.75" x14ac:dyDescent="0.25">
      <c r="A59" s="16" t="s">
        <v>66</v>
      </c>
      <c r="B59" s="17" t="s">
        <v>141</v>
      </c>
      <c r="C59" s="17" t="s">
        <v>247</v>
      </c>
      <c r="D59" s="14" t="s">
        <v>151</v>
      </c>
      <c r="E59" s="15" t="s">
        <v>6</v>
      </c>
      <c r="F59" s="32">
        <f>SUMIF(ING.ABROQUIMICOS[CODIGO],A58:A220,ING.ABROQUIMICOS[CANTIDAD])</f>
        <v>2</v>
      </c>
      <c r="G59" s="31">
        <f>SUMIF(SAL.AGROQUIMICOS[CodigoProducto],A58:A220,SAL.AGROQUIMICOS[Dosis])</f>
        <v>0</v>
      </c>
      <c r="H59" s="21">
        <f>INV.AGROQUIMICOS[[#This Row],[ENTRADAS ]]-INV.AGROQUIMICOS[[#This Row],[SALIDAS]]</f>
        <v>2</v>
      </c>
      <c r="I59" s="21">
        <v>100.57</v>
      </c>
      <c r="J59" s="43">
        <f>INV.AGROQUIMICOS[[#This Row],[STOCK ACTUAL]]*INV.AGROQUIMICOS[[#This Row],[PRECIOS UNITARIOS EN BS]]</f>
        <v>201.14</v>
      </c>
      <c r="K59" s="20"/>
      <c r="M59"/>
      <c r="N59"/>
      <c r="O59"/>
    </row>
    <row r="60" spans="1:15" ht="15.75" x14ac:dyDescent="0.25">
      <c r="A60" s="13" t="s">
        <v>67</v>
      </c>
      <c r="B60" s="14" t="s">
        <v>142</v>
      </c>
      <c r="C60" s="14" t="s">
        <v>248</v>
      </c>
      <c r="D60" s="14" t="s">
        <v>150</v>
      </c>
      <c r="E60" s="15" t="s">
        <v>6</v>
      </c>
      <c r="F60" s="32">
        <f>SUMIF(ING.ABROQUIMICOS[CODIGO],A59:A221,ING.ABROQUIMICOS[CANTIDAD])</f>
        <v>6</v>
      </c>
      <c r="G60" s="31">
        <f>SUMIF(SAL.AGROQUIMICOS[CodigoProducto],A59:A221,SAL.AGROQUIMICOS[Dosis])</f>
        <v>0</v>
      </c>
      <c r="H60" s="21">
        <f>INV.AGROQUIMICOS[[#This Row],[ENTRADAS ]]-INV.AGROQUIMICOS[[#This Row],[SALIDAS]]</f>
        <v>6</v>
      </c>
      <c r="I60" s="21">
        <v>180.96</v>
      </c>
      <c r="J60" s="43">
        <f>INV.AGROQUIMICOS[[#This Row],[STOCK ACTUAL]]*INV.AGROQUIMICOS[[#This Row],[PRECIOS UNITARIOS EN BS]]</f>
        <v>1085.76</v>
      </c>
      <c r="K60" s="20"/>
      <c r="M60"/>
      <c r="N60"/>
      <c r="O60"/>
    </row>
    <row r="61" spans="1:15" ht="15.75" x14ac:dyDescent="0.25">
      <c r="A61" s="16" t="s">
        <v>68</v>
      </c>
      <c r="B61" s="17" t="s">
        <v>1</v>
      </c>
      <c r="C61" s="17" t="s">
        <v>201</v>
      </c>
      <c r="D61" s="14" t="s">
        <v>150</v>
      </c>
      <c r="E61" s="15" t="s">
        <v>154</v>
      </c>
      <c r="F61" s="32">
        <f>SUMIF(ING.ABROQUIMICOS[CODIGO],A60:A222,ING.ABROQUIMICOS[CANTIDAD])</f>
        <v>216.15</v>
      </c>
      <c r="G61" s="31">
        <f>SUMIF(SAL.AGROQUIMICOS[CodigoProducto],A60:A222,SAL.AGROQUIMICOS[Dosis])</f>
        <v>0</v>
      </c>
      <c r="H61" s="21">
        <f>INV.AGROQUIMICOS[[#This Row],[ENTRADAS ]]-INV.AGROQUIMICOS[[#This Row],[SALIDAS]]</f>
        <v>216.15</v>
      </c>
      <c r="I61" s="21">
        <v>250.56</v>
      </c>
      <c r="J61" s="43">
        <f>INV.AGROQUIMICOS[[#This Row],[STOCK ACTUAL]]*INV.AGROQUIMICOS[[#This Row],[PRECIOS UNITARIOS EN BS]]</f>
        <v>54158.544000000002</v>
      </c>
      <c r="K61" s="20"/>
      <c r="M61"/>
      <c r="N61"/>
      <c r="O61"/>
    </row>
    <row r="62" spans="1:15" ht="15.75" x14ac:dyDescent="0.25">
      <c r="A62" s="13" t="s">
        <v>69</v>
      </c>
      <c r="B62" s="14" t="s">
        <v>7</v>
      </c>
      <c r="C62" s="14" t="s">
        <v>249</v>
      </c>
      <c r="D62" s="14" t="s">
        <v>150</v>
      </c>
      <c r="E62" s="15" t="s">
        <v>9</v>
      </c>
      <c r="F62" s="32">
        <f>SUMIF(ING.ABROQUIMICOS[CODIGO],A61:A223,ING.ABROQUIMICOS[CANTIDAD])</f>
        <v>11.700000000000017</v>
      </c>
      <c r="G62" s="31">
        <f>SUMIF(SAL.AGROQUIMICOS[CodigoProducto],A61:A223,SAL.AGROQUIMICOS[Dosis])</f>
        <v>0</v>
      </c>
      <c r="H62" s="21">
        <f>INV.AGROQUIMICOS[[#This Row],[ENTRADAS ]]-INV.AGROQUIMICOS[[#This Row],[SALIDAS]]</f>
        <v>11.700000000000017</v>
      </c>
      <c r="I62" s="21">
        <v>16.704000000000001</v>
      </c>
      <c r="J62" s="43">
        <f>INV.AGROQUIMICOS[[#This Row],[STOCK ACTUAL]]*INV.AGROQUIMICOS[[#This Row],[PRECIOS UNITARIOS EN BS]]</f>
        <v>195.43680000000029</v>
      </c>
      <c r="K62" s="20"/>
      <c r="M62"/>
      <c r="N62"/>
      <c r="O62"/>
    </row>
    <row r="63" spans="1:15" ht="15.75" x14ac:dyDescent="0.25">
      <c r="A63" s="16" t="s">
        <v>70</v>
      </c>
      <c r="B63" s="17" t="s">
        <v>143</v>
      </c>
      <c r="C63" s="17" t="s">
        <v>250</v>
      </c>
      <c r="D63" s="14" t="s">
        <v>150</v>
      </c>
      <c r="E63" s="15" t="s">
        <v>6</v>
      </c>
      <c r="F63" s="32">
        <f>SUMIF(ING.ABROQUIMICOS[CODIGO],A62:A224,ING.ABROQUIMICOS[CANTIDAD])</f>
        <v>274.32</v>
      </c>
      <c r="G63" s="31">
        <f>SUMIF(SAL.AGROQUIMICOS[CodigoProducto],A62:A224,SAL.AGROQUIMICOS[Dosis])</f>
        <v>0</v>
      </c>
      <c r="H63" s="21">
        <f>INV.AGROQUIMICOS[[#This Row],[ENTRADAS ]]-INV.AGROQUIMICOS[[#This Row],[SALIDAS]]</f>
        <v>274.32</v>
      </c>
      <c r="I63" s="21">
        <v>153.12</v>
      </c>
      <c r="J63" s="43">
        <f>INV.AGROQUIMICOS[[#This Row],[STOCK ACTUAL]]*INV.AGROQUIMICOS[[#This Row],[PRECIOS UNITARIOS EN BS]]</f>
        <v>42003.878400000001</v>
      </c>
      <c r="K63" s="20"/>
      <c r="M63"/>
      <c r="N63"/>
      <c r="O63"/>
    </row>
    <row r="64" spans="1:15" ht="15.75" x14ac:dyDescent="0.25">
      <c r="A64" s="13" t="s">
        <v>71</v>
      </c>
      <c r="B64" s="14" t="s">
        <v>144</v>
      </c>
      <c r="C64" s="14" t="s">
        <v>251</v>
      </c>
      <c r="D64" s="14" t="s">
        <v>151</v>
      </c>
      <c r="E64" s="15" t="s">
        <v>157</v>
      </c>
      <c r="F64" s="32">
        <f>SUMIF(ING.ABROQUIMICOS[CODIGO],A63:A225,ING.ABROQUIMICOS[CANTIDAD])</f>
        <v>402.29999999999995</v>
      </c>
      <c r="G64" s="31">
        <f>SUMIF(SAL.AGROQUIMICOS[CodigoProducto],A63:A225,SAL.AGROQUIMICOS[Dosis])</f>
        <v>0</v>
      </c>
      <c r="H64" s="21">
        <f>INV.AGROQUIMICOS[[#This Row],[ENTRADAS ]]-INV.AGROQUIMICOS[[#This Row],[SALIDAS]]</f>
        <v>402.29999999999995</v>
      </c>
      <c r="I64" s="21">
        <v>50.112000000000002</v>
      </c>
      <c r="J64" s="43">
        <f>INV.AGROQUIMICOS[[#This Row],[STOCK ACTUAL]]*INV.AGROQUIMICOS[[#This Row],[PRECIOS UNITARIOS EN BS]]</f>
        <v>20160.0576</v>
      </c>
      <c r="K64" s="20"/>
      <c r="M64"/>
      <c r="N64"/>
      <c r="O64"/>
    </row>
    <row r="65" spans="1:15" ht="15.75" x14ac:dyDescent="0.25">
      <c r="A65" s="16" t="s">
        <v>72</v>
      </c>
      <c r="B65" s="17" t="s">
        <v>145</v>
      </c>
      <c r="C65" s="17" t="s">
        <v>252</v>
      </c>
      <c r="D65" s="14" t="s">
        <v>151</v>
      </c>
      <c r="E65" s="19" t="s">
        <v>9</v>
      </c>
      <c r="F65" s="32">
        <f>SUMIF(ING.ABROQUIMICOS[CODIGO],A64:A226,ING.ABROQUIMICOS[CANTIDAD])</f>
        <v>132.55000000000001</v>
      </c>
      <c r="G65" s="31">
        <f>SUMIF(SAL.AGROQUIMICOS[CodigoProducto],A64:A226,SAL.AGROQUIMICOS[Dosis])</f>
        <v>0</v>
      </c>
      <c r="H65" s="21">
        <f>INV.AGROQUIMICOS[[#This Row],[ENTRADAS ]]-INV.AGROQUIMICOS[[#This Row],[SALIDAS]]</f>
        <v>132.55000000000001</v>
      </c>
      <c r="I65" s="42">
        <v>668.16</v>
      </c>
      <c r="J65" s="43">
        <f>INV.AGROQUIMICOS[[#This Row],[STOCK ACTUAL]]*INV.AGROQUIMICOS[[#This Row],[PRECIOS UNITARIOS EN BS]]</f>
        <v>88564.608000000007</v>
      </c>
      <c r="K65" s="20"/>
      <c r="M65"/>
      <c r="N65"/>
      <c r="O65"/>
    </row>
    <row r="66" spans="1:15" ht="15.75" x14ac:dyDescent="0.25">
      <c r="A66" s="13" t="s">
        <v>73</v>
      </c>
      <c r="B66" s="14" t="s">
        <v>146</v>
      </c>
      <c r="C66" s="14" t="s">
        <v>253</v>
      </c>
      <c r="D66" s="14" t="s">
        <v>151</v>
      </c>
      <c r="E66" s="15" t="s">
        <v>10</v>
      </c>
      <c r="F66" s="32">
        <f>SUMIF(ING.ABROQUIMICOS[CODIGO],A65:A227,ING.ABROQUIMICOS[CANTIDAD])</f>
        <v>16.25</v>
      </c>
      <c r="G66" s="31">
        <f>SUMIF(SAL.AGROQUIMICOS[CodigoProducto],A65:A227,SAL.AGROQUIMICOS[Dosis])</f>
        <v>0</v>
      </c>
      <c r="H66" s="21">
        <f>INV.AGROQUIMICOS[[#This Row],[ENTRADAS ]]-INV.AGROQUIMICOS[[#This Row],[SALIDAS]]</f>
        <v>16.25</v>
      </c>
      <c r="I66" s="21">
        <v>73.08</v>
      </c>
      <c r="J66" s="43">
        <f>INV.AGROQUIMICOS[[#This Row],[STOCK ACTUAL]]*INV.AGROQUIMICOS[[#This Row],[PRECIOS UNITARIOS EN BS]]</f>
        <v>1187.55</v>
      </c>
      <c r="K66" s="20"/>
      <c r="M66"/>
      <c r="N66"/>
      <c r="O66"/>
    </row>
    <row r="67" spans="1:15" ht="15.75" x14ac:dyDescent="0.25">
      <c r="A67" s="16" t="s">
        <v>74</v>
      </c>
      <c r="B67" s="17" t="s">
        <v>147</v>
      </c>
      <c r="C67" s="17" t="s">
        <v>254</v>
      </c>
      <c r="D67" s="14" t="s">
        <v>150</v>
      </c>
      <c r="E67" s="27" t="s">
        <v>6</v>
      </c>
      <c r="F67" s="32">
        <f>SUMIF(ING.ABROQUIMICOS[CODIGO],A66:A228,ING.ABROQUIMICOS[CANTIDAD])</f>
        <v>870</v>
      </c>
      <c r="G67" s="31">
        <f>SUMIF(SAL.AGROQUIMICOS[CodigoProducto],A66:A228,SAL.AGROQUIMICOS[Dosis])</f>
        <v>0</v>
      </c>
      <c r="H67" s="21">
        <f>INV.AGROQUIMICOS[[#This Row],[ENTRADAS ]]-INV.AGROQUIMICOS[[#This Row],[SALIDAS]]</f>
        <v>870</v>
      </c>
      <c r="I67" s="21">
        <v>36.192</v>
      </c>
      <c r="J67" s="43">
        <f>INV.AGROQUIMICOS[[#This Row],[STOCK ACTUAL]]*INV.AGROQUIMICOS[[#This Row],[PRECIOS UNITARIOS EN BS]]</f>
        <v>31487.040000000001</v>
      </c>
      <c r="K67" s="20"/>
      <c r="M67"/>
      <c r="N67"/>
      <c r="O67"/>
    </row>
    <row r="68" spans="1:15" ht="15.75" x14ac:dyDescent="0.25">
      <c r="A68" s="13" t="s">
        <v>75</v>
      </c>
      <c r="B68" s="14" t="s">
        <v>11</v>
      </c>
      <c r="C68" s="14" t="s">
        <v>201</v>
      </c>
      <c r="D68" s="14" t="s">
        <v>150</v>
      </c>
      <c r="E68" s="15" t="s">
        <v>154</v>
      </c>
      <c r="F68" s="32">
        <f>SUMIF(ING.ABROQUIMICOS[CODIGO],A67:A229,ING.ABROQUIMICOS[CANTIDAD])</f>
        <v>1.0800000000000018</v>
      </c>
      <c r="G68" s="31">
        <f>SUMIF(SAL.AGROQUIMICOS[CodigoProducto],A67:A229,SAL.AGROQUIMICOS[Dosis])</f>
        <v>0</v>
      </c>
      <c r="H68" s="21">
        <f>INV.AGROQUIMICOS[[#This Row],[ENTRADAS ]]-INV.AGROQUIMICOS[[#This Row],[SALIDAS]]</f>
        <v>1.0800000000000018</v>
      </c>
      <c r="I68" s="21">
        <v>13.224</v>
      </c>
      <c r="J68" s="43">
        <f>INV.AGROQUIMICOS[[#This Row],[STOCK ACTUAL]]*INV.AGROQUIMICOS[[#This Row],[PRECIOS UNITARIOS EN BS]]</f>
        <v>14.281920000000024</v>
      </c>
      <c r="K68" s="20"/>
      <c r="M68"/>
      <c r="N68"/>
      <c r="O68"/>
    </row>
    <row r="69" spans="1:15" ht="15.75" x14ac:dyDescent="0.25">
      <c r="A69" s="16" t="s">
        <v>76</v>
      </c>
      <c r="B69" s="17" t="s">
        <v>148</v>
      </c>
      <c r="C69" s="17" t="s">
        <v>255</v>
      </c>
      <c r="D69" s="14" t="s">
        <v>150</v>
      </c>
      <c r="E69" s="51" t="s">
        <v>9</v>
      </c>
      <c r="F69" s="32">
        <f>SUMIF(ING.ABROQUIMICOS[CODIGO],A68:A230,ING.ABROQUIMICOS[CANTIDAD])</f>
        <v>120</v>
      </c>
      <c r="G69" s="31">
        <f>SUMIF(SAL.AGROQUIMICOS[CodigoProducto],A68:A230,SAL.AGROQUIMICOS[Dosis])</f>
        <v>0</v>
      </c>
      <c r="H69" s="21">
        <f>INV.AGROQUIMICOS[[#This Row],[ENTRADAS ]]-INV.AGROQUIMICOS[[#This Row],[SALIDAS]]</f>
        <v>120</v>
      </c>
      <c r="I69" s="21">
        <v>13.224</v>
      </c>
      <c r="J69" s="43">
        <f>INV.AGROQUIMICOS[[#This Row],[STOCK ACTUAL]]*INV.AGROQUIMICOS[[#This Row],[PRECIOS UNITARIOS EN BS]]</f>
        <v>1586.88</v>
      </c>
      <c r="K69" s="20"/>
      <c r="M69"/>
      <c r="N69"/>
      <c r="O69"/>
    </row>
    <row r="70" spans="1:15" ht="15.75" x14ac:dyDescent="0.25">
      <c r="A70" s="13" t="s">
        <v>77</v>
      </c>
      <c r="B70" s="14" t="s">
        <v>149</v>
      </c>
      <c r="C70" s="18" t="s">
        <v>256</v>
      </c>
      <c r="D70" s="18" t="s">
        <v>150</v>
      </c>
      <c r="E70" s="51" t="s">
        <v>9</v>
      </c>
      <c r="F70" s="32">
        <f>SUMIF(ING.ABROQUIMICOS[CODIGO],A69:A231,ING.ABROQUIMICOS[CANTIDAD])</f>
        <v>420</v>
      </c>
      <c r="G70" s="31">
        <f>SUMIF(SAL.AGROQUIMICOS[CodigoProducto],A69:A231,SAL.AGROQUIMICOS[Dosis])</f>
        <v>0</v>
      </c>
      <c r="H70" s="21">
        <f>INV.AGROQUIMICOS[[#This Row],[ENTRADAS ]]-INV.AGROQUIMICOS[[#This Row],[SALIDAS]]</f>
        <v>420</v>
      </c>
      <c r="I70" s="21">
        <v>153.12</v>
      </c>
      <c r="J70" s="43">
        <f>INV.AGROQUIMICOS[[#This Row],[STOCK ACTUAL]]*INV.AGROQUIMICOS[[#This Row],[PRECIOS UNITARIOS EN BS]]</f>
        <v>64310.400000000001</v>
      </c>
      <c r="K70" s="28"/>
      <c r="M70"/>
      <c r="N70"/>
      <c r="O70"/>
    </row>
    <row r="71" spans="1:15" ht="15.75" x14ac:dyDescent="0.25">
      <c r="A71" s="13" t="s">
        <v>192</v>
      </c>
      <c r="B71" s="14" t="s">
        <v>132</v>
      </c>
      <c r="C71" s="14" t="s">
        <v>257</v>
      </c>
      <c r="D71" s="14" t="s">
        <v>150</v>
      </c>
      <c r="E71" s="51" t="s">
        <v>9</v>
      </c>
      <c r="F71" s="32">
        <f>SUMIF(ING.ABROQUIMICOS[CODIGO],A70:A231,ING.ABROQUIMICOS[CANTIDAD])</f>
        <v>120</v>
      </c>
      <c r="G71" s="31">
        <f>SUMIF(SAL.AGROQUIMICOS[CodigoProducto],A70:A231,SAL.AGROQUIMICOS[Dosis])</f>
        <v>0</v>
      </c>
      <c r="H71" s="21">
        <f>INV.AGROQUIMICOS[[#This Row],[ENTRADAS ]]-INV.AGROQUIMICOS[[#This Row],[SALIDAS]]</f>
        <v>120</v>
      </c>
      <c r="I71" s="35">
        <v>153.12</v>
      </c>
      <c r="J71" s="43">
        <f>INV.AGROQUIMICOS[[#This Row],[STOCK ACTUAL]]*INV.AGROQUIMICOS[[#This Row],[PRECIOS UNITARIOS EN BS]]</f>
        <v>18374.400000000001</v>
      </c>
      <c r="K71" s="20"/>
    </row>
    <row r="72" spans="1:15" ht="15.75" x14ac:dyDescent="0.25">
      <c r="A72" s="13" t="s">
        <v>262</v>
      </c>
      <c r="B72" s="18" t="s">
        <v>264</v>
      </c>
      <c r="C72" t="s">
        <v>265</v>
      </c>
      <c r="D72" s="26" t="s">
        <v>150</v>
      </c>
      <c r="E72" s="51" t="s">
        <v>6</v>
      </c>
      <c r="F72" s="32">
        <f>SUMIF(ING.ABROQUIMICOS[CODIGO],A71:A232,ING.ABROQUIMICOS[CANTIDAD])</f>
        <v>400</v>
      </c>
      <c r="G72" s="31">
        <f>SUMIF(SAL.AGROQUIMICOS[CodigoProducto],A71:A232,SAL.AGROQUIMICOS[Dosis])</f>
        <v>0</v>
      </c>
      <c r="H72" s="33">
        <f>INV.AGROQUIMICOS[[#This Row],[ENTRADAS ]]-INV.AGROQUIMICOS[[#This Row],[SALIDAS]]</f>
        <v>400</v>
      </c>
      <c r="I72" s="34">
        <v>55.68</v>
      </c>
      <c r="J72" s="44">
        <f>INV.AGROQUIMICOS[[#This Row],[STOCK ACTUAL]]*INV.AGROQUIMICOS[[#This Row],[PRECIOS UNITARIOS EN BS]]</f>
        <v>22272</v>
      </c>
      <c r="K72" s="28"/>
    </row>
    <row r="73" spans="1:15" ht="15.75" x14ac:dyDescent="0.25">
      <c r="A73" s="13" t="s">
        <v>263</v>
      </c>
      <c r="B73" t="s">
        <v>266</v>
      </c>
      <c r="C73" t="s">
        <v>267</v>
      </c>
      <c r="D73" s="25" t="s">
        <v>150</v>
      </c>
      <c r="E73" s="51" t="s">
        <v>9</v>
      </c>
      <c r="F73" s="32">
        <f>SUMIF(ING.ABROQUIMICOS[CODIGO],A72:A232,ING.ABROQUIMICOS[CANTIDAD])</f>
        <v>240</v>
      </c>
      <c r="G73" s="31">
        <f>SUMIF(SAL.AGROQUIMICOS[CodigoProducto],A72:A232,SAL.AGROQUIMICOS[Dosis])</f>
        <v>0</v>
      </c>
      <c r="H73" s="33">
        <f>INV.AGROQUIMICOS[[#This Row],[ENTRADAS ]]-INV.AGROQUIMICOS[[#This Row],[SALIDAS]]</f>
        <v>240</v>
      </c>
      <c r="I73" s="34">
        <v>135.72</v>
      </c>
      <c r="J73" s="44">
        <f>INV.AGROQUIMICOS[[#This Row],[STOCK ACTUAL]]*INV.AGROQUIMICOS[[#This Row],[PRECIOS UNITARIOS EN BS]]</f>
        <v>32572.799999999999</v>
      </c>
      <c r="K73" s="20"/>
    </row>
    <row r="74" spans="1:15" ht="15.75" x14ac:dyDescent="0.25">
      <c r="A74" s="13" t="s">
        <v>274</v>
      </c>
      <c r="B74" s="25" t="s">
        <v>276</v>
      </c>
      <c r="C74" t="s">
        <v>315</v>
      </c>
      <c r="D74" s="25" t="s">
        <v>151</v>
      </c>
      <c r="E74" s="51" t="s">
        <v>152</v>
      </c>
      <c r="F74" s="32">
        <f>SUMIF(ING.ABROQUIMICOS[CODIGO],A73:A232,ING.ABROQUIMICOS[CANTIDAD])</f>
        <v>202000</v>
      </c>
      <c r="G74" s="31">
        <f>SUMIF(SAL.AGROQUIMICOS[CodigoProducto],A73:A232,SAL.AGROQUIMICOS[Dosis])</f>
        <v>0</v>
      </c>
      <c r="H74" s="33">
        <f>INV.AGROQUIMICOS[[#This Row],[ENTRADAS ]]-INV.AGROQUIMICOS[[#This Row],[SALIDAS]]</f>
        <v>202000</v>
      </c>
      <c r="I74" s="34">
        <v>3.0459999999999998</v>
      </c>
      <c r="J74" s="44">
        <f>INV.AGROQUIMICOS[[#This Row],[STOCK ACTUAL]]*INV.AGROQUIMICOS[[#This Row],[PRECIOS UNITARIOS EN BS]]</f>
        <v>615292</v>
      </c>
      <c r="K74" s="52"/>
    </row>
    <row r="75" spans="1:15" ht="15.75" x14ac:dyDescent="0.25">
      <c r="A75" s="13" t="s">
        <v>277</v>
      </c>
      <c r="B75" s="25" t="s">
        <v>278</v>
      </c>
      <c r="C75" t="s">
        <v>314</v>
      </c>
      <c r="D75" s="25" t="s">
        <v>151</v>
      </c>
      <c r="E75" s="51" t="s">
        <v>9</v>
      </c>
      <c r="F75" s="32">
        <f>SUMIF(ING.ABROQUIMICOS[CODIGO],A74:A228,ING.ABROQUIMICOS[CANTIDAD])</f>
        <v>611</v>
      </c>
      <c r="G75" s="31">
        <f>SUMIF(SAL.AGROQUIMICOS[CodigoProducto],A74:A228,SAL.AGROQUIMICOS[Dosis])</f>
        <v>0</v>
      </c>
      <c r="H75" s="33">
        <f>INV.AGROQUIMICOS[[#This Row],[ENTRADAS ]]-INV.AGROQUIMICOS[[#This Row],[SALIDAS]]</f>
        <v>611</v>
      </c>
      <c r="I75" s="34">
        <v>177.48</v>
      </c>
      <c r="J75" s="44">
        <f>INV.AGROQUIMICOS[[#This Row],[STOCK ACTUAL]]*INV.AGROQUIMICOS[[#This Row],[PRECIOS UNITARIOS EN BS]]</f>
        <v>108440.28</v>
      </c>
      <c r="K75" s="52"/>
    </row>
    <row r="76" spans="1:15" ht="15.75" x14ac:dyDescent="0.25">
      <c r="A76" s="13" t="s">
        <v>279</v>
      </c>
      <c r="B76" s="25" t="s">
        <v>280</v>
      </c>
      <c r="C76" s="50" t="s">
        <v>313</v>
      </c>
      <c r="D76" s="25" t="s">
        <v>151</v>
      </c>
      <c r="E76" s="51" t="s">
        <v>9</v>
      </c>
      <c r="F76" s="32">
        <f>SUMIF(ING.ABROQUIMICOS[CODIGO],A75:A229,ING.ABROQUIMICOS[CANTIDAD])</f>
        <v>30.1</v>
      </c>
      <c r="G76" s="31">
        <f>SUMIF(SAL.AGROQUIMICOS[CodigoProducto],A75:A229,SAL.AGROQUIMICOS[Dosis])</f>
        <v>0</v>
      </c>
      <c r="H76" s="33">
        <f>INV.AGROQUIMICOS[[#This Row],[ENTRADAS ]]-INV.AGROQUIMICOS[[#This Row],[SALIDAS]]</f>
        <v>30.1</v>
      </c>
      <c r="I76" s="34">
        <v>1044</v>
      </c>
      <c r="J76" s="44">
        <f>INV.AGROQUIMICOS[[#This Row],[STOCK ACTUAL]]*INV.AGROQUIMICOS[[#This Row],[PRECIOS UNITARIOS EN BS]]</f>
        <v>31424.400000000001</v>
      </c>
      <c r="K76" s="52"/>
    </row>
    <row r="77" spans="1:15" ht="15.75" x14ac:dyDescent="0.25">
      <c r="A77" s="13" t="s">
        <v>281</v>
      </c>
      <c r="B77" s="25" t="s">
        <v>282</v>
      </c>
      <c r="C77" s="50" t="s">
        <v>312</v>
      </c>
      <c r="D77" s="25" t="s">
        <v>151</v>
      </c>
      <c r="E77" s="51" t="s">
        <v>9</v>
      </c>
      <c r="F77" s="32">
        <f>SUMIF(ING.ABROQUIMICOS[CODIGO],A74:A230,ING.ABROQUIMICOS[CANTIDAD])</f>
        <v>75</v>
      </c>
      <c r="G77" s="31">
        <f>SUMIF(SAL.AGROQUIMICOS[CodigoProducto],A74:A230,SAL.AGROQUIMICOS[Dosis])</f>
        <v>0</v>
      </c>
      <c r="H77" s="33">
        <f>INV.AGROQUIMICOS[[#This Row],[ENTRADAS ]]-INV.AGROQUIMICOS[[#This Row],[SALIDAS]]</f>
        <v>75</v>
      </c>
      <c r="I77" s="34">
        <v>236.64</v>
      </c>
      <c r="J77" s="44">
        <f>INV.AGROQUIMICOS[[#This Row],[STOCK ACTUAL]]*INV.AGROQUIMICOS[[#This Row],[PRECIOS UNITARIOS EN BS]]</f>
        <v>17748</v>
      </c>
      <c r="K77" s="52"/>
    </row>
    <row r="78" spans="1:15" ht="15.75" x14ac:dyDescent="0.25">
      <c r="A78" s="13" t="s">
        <v>283</v>
      </c>
      <c r="B78" s="25" t="s">
        <v>284</v>
      </c>
      <c r="C78" s="50" t="s">
        <v>311</v>
      </c>
      <c r="D78" s="25" t="s">
        <v>151</v>
      </c>
      <c r="E78" s="51" t="s">
        <v>152</v>
      </c>
      <c r="F78" s="32">
        <f>SUMIF(ING.ABROQUIMICOS[CODIGO],A74:A231,ING.ABROQUIMICOS[CANTIDAD])</f>
        <v>60</v>
      </c>
      <c r="G78" s="31">
        <f>SUMIF(SAL.AGROQUIMICOS[CodigoProducto],A74:A231,SAL.AGROQUIMICOS[Dosis])</f>
        <v>0</v>
      </c>
      <c r="H78" s="33">
        <f>INV.AGROQUIMICOS[[#This Row],[ENTRADAS ]]-INV.AGROQUIMICOS[[#This Row],[SALIDAS]]</f>
        <v>60</v>
      </c>
      <c r="I78" s="34">
        <v>33.408000000000001</v>
      </c>
      <c r="J78" s="44">
        <f>INV.AGROQUIMICOS[[#This Row],[STOCK ACTUAL]]*INV.AGROQUIMICOS[[#This Row],[PRECIOS UNITARIOS EN BS]]</f>
        <v>2004.48</v>
      </c>
      <c r="K78" s="52"/>
    </row>
    <row r="79" spans="1:15" ht="15.75" x14ac:dyDescent="0.25">
      <c r="A79" s="13" t="s">
        <v>285</v>
      </c>
      <c r="B79" s="25" t="s">
        <v>286</v>
      </c>
      <c r="C79" s="50" t="s">
        <v>310</v>
      </c>
      <c r="D79" s="25" t="s">
        <v>151</v>
      </c>
      <c r="E79" s="51" t="s">
        <v>339</v>
      </c>
      <c r="F79" s="32">
        <f>SUMIF(ING.ABROQUIMICOS[CODIGO],A74:A232,ING.ABROQUIMICOS[CANTIDAD])</f>
        <v>820</v>
      </c>
      <c r="G79" s="31">
        <f>SUMIF(SAL.AGROQUIMICOS[CodigoProducto],A74:A232,SAL.AGROQUIMICOS[Dosis])</f>
        <v>0</v>
      </c>
      <c r="H79" s="33">
        <f>INV.AGROQUIMICOS[[#This Row],[ENTRADAS ]]-INV.AGROQUIMICOS[[#This Row],[SALIDAS]]</f>
        <v>820</v>
      </c>
      <c r="I79" s="34">
        <v>3.306</v>
      </c>
      <c r="J79" s="44">
        <f>INV.AGROQUIMICOS[[#This Row],[STOCK ACTUAL]]*INV.AGROQUIMICOS[[#This Row],[PRECIOS UNITARIOS EN BS]]</f>
        <v>2710.92</v>
      </c>
      <c r="K79" s="52"/>
    </row>
    <row r="80" spans="1:15" ht="15.75" x14ac:dyDescent="0.25">
      <c r="A80" s="13" t="s">
        <v>288</v>
      </c>
      <c r="B80" s="53" t="s">
        <v>290</v>
      </c>
      <c r="C80" s="50" t="s">
        <v>309</v>
      </c>
      <c r="D80" s="25" t="s">
        <v>151</v>
      </c>
      <c r="E80" s="51" t="s">
        <v>10</v>
      </c>
      <c r="F80" s="32">
        <f>SUMIF(ING.ABROQUIMICOS[CODIGO],A79:A231,ING.ABROQUIMICOS[CANTIDAD])</f>
        <v>65</v>
      </c>
      <c r="G80" s="31">
        <f>SUMIF(SAL.AGROQUIMICOS[CodigoProducto],A79:A231,SAL.AGROQUIMICOS[Dosis])</f>
        <v>0</v>
      </c>
      <c r="H80" s="33">
        <f>INV.AGROQUIMICOS[[#This Row],[ENTRADAS ]]-INV.AGROQUIMICOS[[#This Row],[SALIDAS]]</f>
        <v>65</v>
      </c>
      <c r="I80" s="34">
        <v>47.328000000000003</v>
      </c>
      <c r="J80" s="44">
        <f>INV.AGROQUIMICOS[[#This Row],[STOCK ACTUAL]]*INV.AGROQUIMICOS[[#This Row],[PRECIOS UNITARIOS EN BS]]</f>
        <v>3076.32</v>
      </c>
      <c r="K80" s="52"/>
    </row>
    <row r="81" spans="1:11" ht="15.75" x14ac:dyDescent="0.25">
      <c r="A81" s="13" t="s">
        <v>289</v>
      </c>
      <c r="B81" s="53" t="s">
        <v>291</v>
      </c>
      <c r="C81" s="50" t="s">
        <v>308</v>
      </c>
      <c r="D81" s="25" t="s">
        <v>151</v>
      </c>
      <c r="E81" s="51" t="s">
        <v>10</v>
      </c>
      <c r="F81" s="32">
        <f>SUMIF(ING.ABROQUIMICOS[CODIGO],A79:A232,ING.ABROQUIMICOS[CANTIDAD])</f>
        <v>265</v>
      </c>
      <c r="G81" s="31">
        <f>SUMIF(SAL.AGROQUIMICOS[CodigoProducto],A79:A232,SAL.AGROQUIMICOS[Dosis])</f>
        <v>0</v>
      </c>
      <c r="H81" s="33">
        <f>INV.AGROQUIMICOS[[#This Row],[ENTRADAS ]]-INV.AGROQUIMICOS[[#This Row],[SALIDAS]]</f>
        <v>265</v>
      </c>
      <c r="I81" s="34">
        <v>20.88</v>
      </c>
      <c r="J81" s="44">
        <f>INV.AGROQUIMICOS[[#This Row],[STOCK ACTUAL]]*INV.AGROQUIMICOS[[#This Row],[PRECIOS UNITARIOS EN BS]]</f>
        <v>5533.2</v>
      </c>
      <c r="K81" s="52"/>
    </row>
    <row r="82" spans="1:11" ht="15.75" x14ac:dyDescent="0.25">
      <c r="A82" s="13" t="s">
        <v>296</v>
      </c>
      <c r="B82" s="14" t="s">
        <v>297</v>
      </c>
      <c r="C82" s="50" t="s">
        <v>307</v>
      </c>
      <c r="D82" s="25" t="s">
        <v>151</v>
      </c>
      <c r="E82" s="51" t="s">
        <v>152</v>
      </c>
      <c r="F82" s="32">
        <f>SUMIF(ING.ABROQUIMICOS[CODIGO],A81:A232,ING.ABROQUIMICOS[CANTIDAD])</f>
        <v>13</v>
      </c>
      <c r="G82" s="31">
        <f>SUMIF(SAL.AGROQUIMICOS[CodigoProducto],A81:A232,SAL.AGROQUIMICOS[Dosis])</f>
        <v>0</v>
      </c>
      <c r="H82" s="33">
        <f>INV.AGROQUIMICOS[[#This Row],[ENTRADAS ]]-INV.AGROQUIMICOS[[#This Row],[SALIDAS]]</f>
        <v>13</v>
      </c>
      <c r="I82" s="34">
        <v>452.4</v>
      </c>
      <c r="J82" s="44">
        <f>INV.AGROQUIMICOS[[#This Row],[STOCK ACTUAL]]*INV.AGROQUIMICOS[[#This Row],[PRECIOS UNITARIOS EN BS]]</f>
        <v>5881.2</v>
      </c>
      <c r="K82" s="52"/>
    </row>
    <row r="83" spans="1:11" ht="15.75" x14ac:dyDescent="0.25">
      <c r="A83" s="13" t="s">
        <v>298</v>
      </c>
      <c r="B83" s="14" t="s">
        <v>301</v>
      </c>
      <c r="C83" s="51" t="s">
        <v>304</v>
      </c>
      <c r="D83" s="25" t="s">
        <v>151</v>
      </c>
      <c r="E83" s="51" t="s">
        <v>6</v>
      </c>
      <c r="F83" s="32">
        <f>SUMIF(ING.ABROQUIMICOS[CODIGO],A82:A230,ING.ABROQUIMICOS[CANTIDAD])</f>
        <v>2000</v>
      </c>
      <c r="G83" s="31">
        <f>SUMIF(SAL.AGROQUIMICOS[CodigoProducto],A82:A230,SAL.AGROQUIMICOS[Dosis])</f>
        <v>0</v>
      </c>
      <c r="H83" s="33">
        <f>INV.AGROQUIMICOS[[#This Row],[ENTRADAS ]]-INV.AGROQUIMICOS[[#This Row],[SALIDAS]]</f>
        <v>2000</v>
      </c>
      <c r="I83" s="34">
        <v>48.024000000000001</v>
      </c>
      <c r="J83" s="44">
        <f>INV.AGROQUIMICOS[[#This Row],[STOCK ACTUAL]]*INV.AGROQUIMICOS[[#This Row],[PRECIOS UNITARIOS EN BS]]</f>
        <v>96048</v>
      </c>
      <c r="K83" s="52"/>
    </row>
    <row r="84" spans="1:11" ht="15.75" x14ac:dyDescent="0.25">
      <c r="A84" s="13" t="s">
        <v>299</v>
      </c>
      <c r="B84" s="14" t="s">
        <v>302</v>
      </c>
      <c r="C84" s="51" t="s">
        <v>305</v>
      </c>
      <c r="D84" s="25" t="s">
        <v>150</v>
      </c>
      <c r="E84" s="51" t="s">
        <v>6</v>
      </c>
      <c r="F84" s="32">
        <f>SUMIF(ING.ABROQUIMICOS[CODIGO],A82:A231,ING.ABROQUIMICOS[CANTIDAD])</f>
        <v>360</v>
      </c>
      <c r="G84" s="31">
        <f>SUMIF(SAL.AGROQUIMICOS[CodigoProducto],A82:A231,SAL.AGROQUIMICOS[Dosis])</f>
        <v>0</v>
      </c>
      <c r="H84" s="33">
        <f>INV.AGROQUIMICOS[[#This Row],[ENTRADAS ]]-INV.AGROQUIMICOS[[#This Row],[SALIDAS]]</f>
        <v>360</v>
      </c>
      <c r="I84" s="34">
        <v>59.16</v>
      </c>
      <c r="J84" s="44">
        <f>INV.AGROQUIMICOS[[#This Row],[STOCK ACTUAL]]*INV.AGROQUIMICOS[[#This Row],[PRECIOS UNITARIOS EN BS]]</f>
        <v>21297.599999999999</v>
      </c>
      <c r="K84" s="52"/>
    </row>
    <row r="85" spans="1:11" ht="15.75" x14ac:dyDescent="0.25">
      <c r="A85" s="13" t="s">
        <v>300</v>
      </c>
      <c r="B85" s="14" t="s">
        <v>303</v>
      </c>
      <c r="C85" s="50" t="s">
        <v>306</v>
      </c>
      <c r="D85" s="25" t="s">
        <v>150</v>
      </c>
      <c r="E85" s="51" t="s">
        <v>6</v>
      </c>
      <c r="F85" s="32">
        <f>SUMIF(ING.ABROQUIMICOS[CODIGO],A82:A232,ING.ABROQUIMICOS[CANTIDAD])</f>
        <v>45</v>
      </c>
      <c r="G85" s="31">
        <f>SUMIF(SAL.AGROQUIMICOS[CodigoProducto],A82:A232,SAL.AGROQUIMICOS[Dosis])</f>
        <v>0</v>
      </c>
      <c r="H85" s="33">
        <f>INV.AGROQUIMICOS[[#This Row],[ENTRADAS ]]-INV.AGROQUIMICOS[[#This Row],[SALIDAS]]</f>
        <v>45</v>
      </c>
      <c r="I85" s="34">
        <v>1475.52</v>
      </c>
      <c r="J85" s="44">
        <f>INV.AGROQUIMICOS[[#This Row],[STOCK ACTUAL]]*INV.AGROQUIMICOS[[#This Row],[PRECIOS UNITARIOS EN BS]]</f>
        <v>66398.399999999994</v>
      </c>
      <c r="K85" s="52"/>
    </row>
    <row r="86" spans="1:11" ht="15.75" x14ac:dyDescent="0.25">
      <c r="A86" s="13" t="s">
        <v>317</v>
      </c>
      <c r="B86" s="14" t="s">
        <v>321</v>
      </c>
      <c r="C86" s="51" t="s">
        <v>305</v>
      </c>
      <c r="D86" s="25" t="s">
        <v>150</v>
      </c>
      <c r="E86" s="51" t="s">
        <v>6</v>
      </c>
      <c r="F86" s="32">
        <f>SUMIF(ING.ABROQUIMICOS[CODIGO],A85:A229,ING.ABROQUIMICOS[CANTIDAD])</f>
        <v>480</v>
      </c>
      <c r="G86" s="31">
        <f>SUMIF(SAL.AGROQUIMICOS[CodigoProducto],A85:A229,SAL.AGROQUIMICOS[Dosis])</f>
        <v>0</v>
      </c>
      <c r="H86" s="33">
        <f>INV.AGROQUIMICOS[[#This Row],[ENTRADAS ]]-INV.AGROQUIMICOS[[#This Row],[SALIDAS]]</f>
        <v>480</v>
      </c>
      <c r="I86" s="34">
        <v>57.280999999999999</v>
      </c>
      <c r="J86" s="44">
        <f>INV.AGROQUIMICOS[[#This Row],[STOCK ACTUAL]]*INV.AGROQUIMICOS[[#This Row],[PRECIOS UNITARIOS EN BS]]</f>
        <v>27494.880000000001</v>
      </c>
      <c r="K86" s="52"/>
    </row>
    <row r="87" spans="1:11" ht="15.75" x14ac:dyDescent="0.25">
      <c r="A87" s="13" t="s">
        <v>318</v>
      </c>
      <c r="B87" s="14" t="s">
        <v>322</v>
      </c>
      <c r="C87" t="s">
        <v>325</v>
      </c>
      <c r="D87" s="25" t="s">
        <v>150</v>
      </c>
      <c r="E87" s="51" t="s">
        <v>9</v>
      </c>
      <c r="F87" s="32">
        <f>SUMIF(ING.ABROQUIMICOS[CODIGO],A85:A230,ING.ABROQUIMICOS[CANTIDAD])</f>
        <v>160</v>
      </c>
      <c r="G87" s="31">
        <f>SUMIF(SAL.AGROQUIMICOS[CodigoProducto],A85:A230,SAL.AGROQUIMICOS[Dosis])</f>
        <v>0</v>
      </c>
      <c r="H87" s="33">
        <f>INV.AGROQUIMICOS[[#This Row],[ENTRADAS ]]-INV.AGROQUIMICOS[[#This Row],[SALIDAS]]</f>
        <v>160</v>
      </c>
      <c r="I87" s="34">
        <v>75.864000000000004</v>
      </c>
      <c r="J87" s="44">
        <f>INV.AGROQUIMICOS[[#This Row],[STOCK ACTUAL]]*INV.AGROQUIMICOS[[#This Row],[PRECIOS UNITARIOS EN BS]]</f>
        <v>12138.240000000002</v>
      </c>
      <c r="K87" s="52"/>
    </row>
    <row r="88" spans="1:11" ht="15.75" x14ac:dyDescent="0.25">
      <c r="A88" s="13" t="s">
        <v>319</v>
      </c>
      <c r="B88" s="14" t="s">
        <v>323</v>
      </c>
      <c r="C88" t="s">
        <v>326</v>
      </c>
      <c r="D88" s="25" t="s">
        <v>150</v>
      </c>
      <c r="E88" s="51" t="s">
        <v>6</v>
      </c>
      <c r="F88" s="32">
        <f>SUMIF(ING.ABROQUIMICOS[CODIGO],A85:A231,ING.ABROQUIMICOS[CANTIDAD])</f>
        <v>189</v>
      </c>
      <c r="G88" s="31">
        <f>SUMIF(SAL.AGROQUIMICOS[CodigoProducto],A85:A231,SAL.AGROQUIMICOS[Dosis])</f>
        <v>0</v>
      </c>
      <c r="H88" s="33">
        <f>INV.AGROQUIMICOS[[#This Row],[ENTRADAS ]]-INV.AGROQUIMICOS[[#This Row],[SALIDAS]]</f>
        <v>189</v>
      </c>
      <c r="I88" s="34">
        <v>410.64</v>
      </c>
      <c r="J88" s="44">
        <f>INV.AGROQUIMICOS[[#This Row],[STOCK ACTUAL]]*INV.AGROQUIMICOS[[#This Row],[PRECIOS UNITARIOS EN BS]]</f>
        <v>77610.959999999992</v>
      </c>
      <c r="K88" s="52"/>
    </row>
    <row r="89" spans="1:11" ht="15.75" x14ac:dyDescent="0.25">
      <c r="A89" s="13" t="s">
        <v>320</v>
      </c>
      <c r="B89" s="14" t="s">
        <v>324</v>
      </c>
      <c r="C89" t="s">
        <v>327</v>
      </c>
      <c r="D89" s="25" t="s">
        <v>150</v>
      </c>
      <c r="E89" s="51" t="s">
        <v>9</v>
      </c>
      <c r="F89" s="32">
        <f>SUMIF(ING.ABROQUIMICOS[CODIGO],A85:A232,ING.ABROQUIMICOS[CANTIDAD])</f>
        <v>282</v>
      </c>
      <c r="G89" s="31">
        <f>SUMIF(SAL.AGROQUIMICOS[CodigoProducto],A85:A232,SAL.AGROQUIMICOS[Dosis])</f>
        <v>0</v>
      </c>
      <c r="H89" s="33">
        <f>INV.AGROQUIMICOS[[#This Row],[ENTRADAS ]]-INV.AGROQUIMICOS[[#This Row],[SALIDAS]]</f>
        <v>282</v>
      </c>
      <c r="I89" s="34">
        <v>368.88</v>
      </c>
      <c r="J89" s="44">
        <f>INV.AGROQUIMICOS[[#This Row],[STOCK ACTUAL]]*INV.AGROQUIMICOS[[#This Row],[PRECIOS UNITARIOS EN BS]]</f>
        <v>104024.16</v>
      </c>
      <c r="K89" s="52"/>
    </row>
    <row r="90" spans="1:11" ht="15.75" x14ac:dyDescent="0.25">
      <c r="A90" s="13" t="s">
        <v>344</v>
      </c>
      <c r="B90" s="14" t="s">
        <v>345</v>
      </c>
      <c r="C90" s="18" t="s">
        <v>346</v>
      </c>
      <c r="D90" s="25" t="s">
        <v>150</v>
      </c>
      <c r="E90" s="51" t="s">
        <v>9</v>
      </c>
      <c r="F90" s="32">
        <f>SUMIF(ING.ABROQUIMICOS[CODIGO],A89:A232,ING.ABROQUIMICOS[CANTIDAD])</f>
        <v>30</v>
      </c>
      <c r="G90" s="31">
        <f>SUMIF(SAL.AGROQUIMICOS[CodigoProducto],A89:A232,SAL.AGROQUIMICOS[Dosis])</f>
        <v>0</v>
      </c>
      <c r="H90" s="33">
        <f>INV.AGROQUIMICOS[[#This Row],[ENTRADAS ]]-INV.AGROQUIMICOS[[#This Row],[SALIDAS]]</f>
        <v>30</v>
      </c>
      <c r="I90" s="34">
        <v>396.72</v>
      </c>
      <c r="J90" s="44">
        <f>INV.AGROQUIMICOS[[#This Row],[STOCK ACTUAL]]*INV.AGROQUIMICOS[[#This Row],[PRECIOS UNITARIOS EN BS]]</f>
        <v>11901.6</v>
      </c>
      <c r="K90" s="52"/>
    </row>
    <row r="91" spans="1:11" ht="15.75" x14ac:dyDescent="0.25">
      <c r="A91" s="13" t="s">
        <v>347</v>
      </c>
      <c r="B91" s="14" t="s">
        <v>352</v>
      </c>
      <c r="C91" s="18" t="s">
        <v>353</v>
      </c>
      <c r="D91" s="25" t="s">
        <v>150</v>
      </c>
      <c r="E91" s="51" t="s">
        <v>6</v>
      </c>
      <c r="F91" s="32">
        <f>SUMIF(ING.ABROQUIMICOS[CODIGO],A90:A232,ING.ABROQUIMICOS[CANTIDAD])</f>
        <v>2040</v>
      </c>
      <c r="G91" s="31">
        <f>SUMIF(SAL.AGROQUIMICOS[CodigoProducto],A90:A232,SAL.AGROQUIMICOS[Dosis])</f>
        <v>0</v>
      </c>
      <c r="H91" s="33">
        <f>INV.AGROQUIMICOS[[#This Row],[ENTRADAS ]]-INV.AGROQUIMICOS[[#This Row],[SALIDAS]]</f>
        <v>2040</v>
      </c>
      <c r="I91" s="34">
        <v>76.56</v>
      </c>
      <c r="J91" s="44">
        <f>INV.AGROQUIMICOS[[#This Row],[STOCK ACTUAL]]*INV.AGROQUIMICOS[[#This Row],[PRECIOS UNITARIOS EN BS]]</f>
        <v>156182.39999999999</v>
      </c>
      <c r="K91" s="52"/>
    </row>
    <row r="92" spans="1:11" ht="15.75" x14ac:dyDescent="0.25">
      <c r="A92" s="13" t="s">
        <v>348</v>
      </c>
      <c r="B92" s="14" t="s">
        <v>354</v>
      </c>
      <c r="C92" s="18" t="s">
        <v>355</v>
      </c>
      <c r="D92" s="25" t="s">
        <v>151</v>
      </c>
      <c r="E92" s="51" t="s">
        <v>9</v>
      </c>
      <c r="F92" s="32">
        <f>SUMIF(ING.ABROQUIMICOS[CODIGO],A91:A231,ING.ABROQUIMICOS[CANTIDAD])</f>
        <v>272</v>
      </c>
      <c r="G92" s="31">
        <f>SUMIF(SAL.AGROQUIMICOS[CodigoProducto],A91:A231,SAL.AGROQUIMICOS[Dosis])</f>
        <v>0</v>
      </c>
      <c r="H92" s="33">
        <f>INV.AGROQUIMICOS[[#This Row],[ENTRADAS ]]-INV.AGROQUIMICOS[[#This Row],[SALIDAS]]</f>
        <v>272</v>
      </c>
      <c r="I92" s="34">
        <v>522</v>
      </c>
      <c r="J92" s="44">
        <f>INV.AGROQUIMICOS[[#This Row],[STOCK ACTUAL]]*INV.AGROQUIMICOS[[#This Row],[PRECIOS UNITARIOS EN BS]]</f>
        <v>141984</v>
      </c>
      <c r="K92" s="52"/>
    </row>
    <row r="93" spans="1:11" ht="15.75" x14ac:dyDescent="0.25">
      <c r="A93" s="13" t="s">
        <v>349</v>
      </c>
      <c r="B93" s="14" t="s">
        <v>356</v>
      </c>
      <c r="C93" s="18" t="s">
        <v>357</v>
      </c>
      <c r="D93" s="25" t="s">
        <v>150</v>
      </c>
      <c r="E93" s="51" t="s">
        <v>9</v>
      </c>
      <c r="F93" s="32">
        <f>SUMIF(ING.ABROQUIMICOS[CODIGO],A91:A232,ING.ABROQUIMICOS[CANTIDAD])</f>
        <v>290</v>
      </c>
      <c r="G93" s="31">
        <f>SUMIF(SAL.AGROQUIMICOS[CodigoProducto],A91:A232,SAL.AGROQUIMICOS[Dosis])</f>
        <v>0</v>
      </c>
      <c r="H93" s="33">
        <f>INV.AGROQUIMICOS[[#This Row],[ENTRADAS ]]-INV.AGROQUIMICOS[[#This Row],[SALIDAS]]</f>
        <v>290</v>
      </c>
      <c r="I93" s="34">
        <v>417.6</v>
      </c>
      <c r="J93" s="44">
        <f>INV.AGROQUIMICOS[[#This Row],[STOCK ACTUAL]]*INV.AGROQUIMICOS[[#This Row],[PRECIOS UNITARIOS EN BS]]</f>
        <v>121104</v>
      </c>
      <c r="K93" s="52"/>
    </row>
    <row r="94" spans="1:11" ht="15.75" x14ac:dyDescent="0.25">
      <c r="A94" s="13" t="s">
        <v>350</v>
      </c>
      <c r="B94" s="14" t="s">
        <v>358</v>
      </c>
      <c r="C94" s="18" t="s">
        <v>226</v>
      </c>
      <c r="D94" s="25" t="s">
        <v>151</v>
      </c>
      <c r="E94" s="51" t="s">
        <v>9</v>
      </c>
      <c r="F94" s="32">
        <f>SUMIF(ING.ABROQUIMICOS[CODIGO],A93:A231,ING.ABROQUIMICOS[CANTIDAD])</f>
        <v>100</v>
      </c>
      <c r="G94" s="31">
        <f>SUMIF(SAL.AGROQUIMICOS[CodigoProducto],A93:A231,SAL.AGROQUIMICOS[Dosis])</f>
        <v>0</v>
      </c>
      <c r="H94" s="33">
        <f>INV.AGROQUIMICOS[[#This Row],[ENTRADAS ]]-INV.AGROQUIMICOS[[#This Row],[SALIDAS]]</f>
        <v>100</v>
      </c>
      <c r="I94" s="34">
        <v>466.32</v>
      </c>
      <c r="J94" s="44">
        <f>INV.AGROQUIMICOS[[#This Row],[STOCK ACTUAL]]*INV.AGROQUIMICOS[[#This Row],[PRECIOS UNITARIOS EN BS]]</f>
        <v>46632</v>
      </c>
      <c r="K94" s="52"/>
    </row>
    <row r="95" spans="1:11" ht="15.75" x14ac:dyDescent="0.25">
      <c r="A95" s="13" t="s">
        <v>351</v>
      </c>
      <c r="B95" s="14" t="s">
        <v>359</v>
      </c>
      <c r="C95" s="18" t="s">
        <v>360</v>
      </c>
      <c r="D95" s="25" t="s">
        <v>151</v>
      </c>
      <c r="E95" s="51" t="s">
        <v>9</v>
      </c>
      <c r="F95" s="32">
        <f>SUMIF(ING.ABROQUIMICOS[CODIGO],A93:A232,ING.ABROQUIMICOS[CANTIDAD])</f>
        <v>495</v>
      </c>
      <c r="G95" s="31">
        <f>SUMIF(SAL.AGROQUIMICOS[CodigoProducto],A93:A232,SAL.AGROQUIMICOS[Dosis])</f>
        <v>0</v>
      </c>
      <c r="H95" s="33">
        <f>INV.AGROQUIMICOS[[#This Row],[ENTRADAS ]]-INV.AGROQUIMICOS[[#This Row],[SALIDAS]]</f>
        <v>495</v>
      </c>
      <c r="I95" s="34">
        <v>180.96</v>
      </c>
      <c r="J95" s="44">
        <f>INV.AGROQUIMICOS[[#This Row],[STOCK ACTUAL]]*INV.AGROQUIMICOS[[#This Row],[PRECIOS UNITARIOS EN BS]]</f>
        <v>89575.2</v>
      </c>
      <c r="K95" s="52"/>
    </row>
    <row r="96" spans="1:11" ht="15.75" x14ac:dyDescent="0.25">
      <c r="A96" s="13" t="s">
        <v>361</v>
      </c>
      <c r="B96" s="14" t="s">
        <v>363</v>
      </c>
      <c r="C96" s="18" t="s">
        <v>365</v>
      </c>
      <c r="D96" s="25" t="s">
        <v>150</v>
      </c>
      <c r="E96" s="51" t="s">
        <v>9</v>
      </c>
      <c r="F96" s="32">
        <f>SUMIF(ING.ABROQUIMICOS[CODIGO],A95:A231,ING.ABROQUIMICOS[CANTIDAD])</f>
        <v>250</v>
      </c>
      <c r="G96" s="31">
        <f>SUMIF(SAL.AGROQUIMICOS[CodigoProducto],A95:A231,SAL.AGROQUIMICOS[Dosis])</f>
        <v>0</v>
      </c>
      <c r="H96" s="33">
        <f>INV.AGROQUIMICOS[[#This Row],[ENTRADAS ]]-INV.AGROQUIMICOS[[#This Row],[SALIDAS]]</f>
        <v>250</v>
      </c>
      <c r="I96" s="34">
        <v>167.04</v>
      </c>
      <c r="J96" s="44">
        <f>INV.AGROQUIMICOS[[#This Row],[STOCK ACTUAL]]*INV.AGROQUIMICOS[[#This Row],[PRECIOS UNITARIOS EN BS]]</f>
        <v>41760</v>
      </c>
      <c r="K96" s="52"/>
    </row>
    <row r="97" spans="1:11" ht="15.75" x14ac:dyDescent="0.25">
      <c r="A97" s="13" t="s">
        <v>362</v>
      </c>
      <c r="B97" s="14" t="s">
        <v>364</v>
      </c>
      <c r="C97" s="18" t="s">
        <v>366</v>
      </c>
      <c r="D97" s="25" t="s">
        <v>150</v>
      </c>
      <c r="E97" s="51" t="s">
        <v>10</v>
      </c>
      <c r="F97" s="32">
        <f>SUMIF(ING.ABROQUIMICOS[CODIGO],A95:A232,ING.ABROQUIMICOS[CANTIDAD])</f>
        <v>290</v>
      </c>
      <c r="G97" s="31">
        <f>SUMIF(SAL.AGROQUIMICOS[CodigoProducto],A95:A232,SAL.AGROQUIMICOS[Dosis])</f>
        <v>0</v>
      </c>
      <c r="H97" s="33">
        <f>INV.AGROQUIMICOS[[#This Row],[ENTRADAS ]]-INV.AGROQUIMICOS[[#This Row],[SALIDAS]]</f>
        <v>290</v>
      </c>
      <c r="I97" s="34">
        <v>163.56</v>
      </c>
      <c r="J97" s="44">
        <f>INV.AGROQUIMICOS[[#This Row],[STOCK ACTUAL]]*INV.AGROQUIMICOS[[#This Row],[PRECIOS UNITARIOS EN BS]]</f>
        <v>47432.4</v>
      </c>
      <c r="K97" s="52"/>
    </row>
    <row r="98" spans="1:11" ht="15.75" x14ac:dyDescent="0.25">
      <c r="A98" s="13" t="s">
        <v>368</v>
      </c>
      <c r="B98" s="14" t="s">
        <v>369</v>
      </c>
      <c r="C98" s="18" t="s">
        <v>370</v>
      </c>
      <c r="D98" s="25" t="s">
        <v>150</v>
      </c>
      <c r="E98" s="51" t="s">
        <v>6</v>
      </c>
      <c r="F98" s="32">
        <f>SUMIF(ING.ABROQUIMICOS[CODIGO],A97:A232,ING.ABROQUIMICOS[CANTIDAD])</f>
        <v>3000</v>
      </c>
      <c r="G98" s="31">
        <f>SUMIF(SAL.AGROQUIMICOS[CodigoProducto],A97:A232,SAL.AGROQUIMICOS[Dosis])</f>
        <v>0</v>
      </c>
      <c r="H98" s="33">
        <f>INV.AGROQUIMICOS[[#This Row],[ENTRADAS ]]-INV.AGROQUIMICOS[[#This Row],[SALIDAS]]</f>
        <v>3000</v>
      </c>
      <c r="I98" s="34">
        <v>23.664000000000001</v>
      </c>
      <c r="J98" s="44">
        <f>INV.AGROQUIMICOS[[#This Row],[STOCK ACTUAL]]*INV.AGROQUIMICOS[[#This Row],[PRECIOS UNITARIOS EN BS]]</f>
        <v>70992</v>
      </c>
      <c r="K98" s="52"/>
    </row>
    <row r="99" spans="1:11" ht="15.75" x14ac:dyDescent="0.25">
      <c r="A99" s="13" t="s">
        <v>371</v>
      </c>
      <c r="B99" s="14" t="s">
        <v>109</v>
      </c>
      <c r="C99" t="s">
        <v>213</v>
      </c>
      <c r="D99" t="s">
        <v>388</v>
      </c>
      <c r="E99" t="s">
        <v>391</v>
      </c>
      <c r="F99" s="32">
        <f>SUMIF(ING.ABROQUIMICOS[CODIGO],A98:A226,ING.ABROQUIMICOS[CANTIDAD])</f>
        <v>620</v>
      </c>
      <c r="G99" s="31">
        <f>SUMIF(SAL.AGROQUIMICOS[CodigoProducto],A98:A226,SAL.AGROQUIMICOS[Dosis])</f>
        <v>0</v>
      </c>
      <c r="H99" s="33">
        <f>INV.AGROQUIMICOS[[#This Row],[ENTRADAS ]]-INV.AGROQUIMICOS[[#This Row],[SALIDAS]]</f>
        <v>620</v>
      </c>
      <c r="I99" s="34">
        <v>75.17</v>
      </c>
      <c r="J99" s="44">
        <f>INV.AGROQUIMICOS[[#This Row],[STOCK ACTUAL]]*INV.AGROQUIMICOS[[#This Row],[PRECIOS UNITARIOS EN BS]]</f>
        <v>46605.4</v>
      </c>
      <c r="K99" s="52"/>
    </row>
    <row r="100" spans="1:11" ht="15.75" x14ac:dyDescent="0.25">
      <c r="A100" s="13" t="s">
        <v>372</v>
      </c>
      <c r="B100" s="14" t="s">
        <v>378</v>
      </c>
      <c r="C100" t="s">
        <v>384</v>
      </c>
      <c r="D100" t="s">
        <v>389</v>
      </c>
      <c r="E100" t="s">
        <v>391</v>
      </c>
      <c r="F100" s="32">
        <f>SUMIF(ING.ABROQUIMICOS[CODIGO],A98:A227,ING.ABROQUIMICOS[CANTIDAD])</f>
        <v>7.5</v>
      </c>
      <c r="G100" s="31">
        <f>SUMIF(SAL.AGROQUIMICOS[CodigoProducto],A98:A227,SAL.AGROQUIMICOS[Dosis])</f>
        <v>0</v>
      </c>
      <c r="H100" s="33">
        <f>INV.AGROQUIMICOS[[#This Row],[ENTRADAS ]]-INV.AGROQUIMICOS[[#This Row],[SALIDAS]]</f>
        <v>7.5</v>
      </c>
      <c r="I100" s="34">
        <v>3563.52</v>
      </c>
      <c r="J100" s="44">
        <f>INV.AGROQUIMICOS[[#This Row],[STOCK ACTUAL]]*INV.AGROQUIMICOS[[#This Row],[PRECIOS UNITARIOS EN BS]]</f>
        <v>26726.400000000001</v>
      </c>
      <c r="K100" s="52"/>
    </row>
    <row r="101" spans="1:11" ht="15.75" x14ac:dyDescent="0.25">
      <c r="A101" s="13" t="s">
        <v>373</v>
      </c>
      <c r="B101" s="14" t="s">
        <v>379</v>
      </c>
      <c r="C101" t="s">
        <v>385</v>
      </c>
      <c r="D101" t="s">
        <v>390</v>
      </c>
      <c r="E101" t="s">
        <v>391</v>
      </c>
      <c r="F101" s="32">
        <f>SUMIF(ING.ABROQUIMICOS[CODIGO],A98:A228,ING.ABROQUIMICOS[CANTIDAD])</f>
        <v>200</v>
      </c>
      <c r="G101" s="31">
        <f>SUMIF(SAL.AGROQUIMICOS[CodigoProducto],A98:A228,SAL.AGROQUIMICOS[Dosis])</f>
        <v>0</v>
      </c>
      <c r="H101" s="33">
        <f>INV.AGROQUIMICOS[[#This Row],[ENTRADAS ]]-INV.AGROQUIMICOS[[#This Row],[SALIDAS]]</f>
        <v>200</v>
      </c>
      <c r="I101" s="34">
        <v>61.94</v>
      </c>
      <c r="J101" s="44">
        <f>INV.AGROQUIMICOS[[#This Row],[STOCK ACTUAL]]*INV.AGROQUIMICOS[[#This Row],[PRECIOS UNITARIOS EN BS]]</f>
        <v>12388</v>
      </c>
      <c r="K101" s="52"/>
    </row>
    <row r="102" spans="1:11" ht="15.75" x14ac:dyDescent="0.25">
      <c r="A102" s="13" t="s">
        <v>374</v>
      </c>
      <c r="B102" s="14" t="s">
        <v>380</v>
      </c>
      <c r="C102" t="s">
        <v>386</v>
      </c>
      <c r="D102" t="s">
        <v>388</v>
      </c>
      <c r="E102" t="s">
        <v>392</v>
      </c>
      <c r="F102" s="32">
        <f>SUMIF(ING.ABROQUIMICOS[CODIGO],A98:A229,ING.ABROQUIMICOS[CANTIDAD])</f>
        <v>19.5</v>
      </c>
      <c r="G102" s="31">
        <f>SUMIF(SAL.AGROQUIMICOS[CodigoProducto],A98:A229,SAL.AGROQUIMICOS[Dosis])</f>
        <v>0</v>
      </c>
      <c r="H102" s="33">
        <f>INV.AGROQUIMICOS[[#This Row],[ENTRADAS ]]-INV.AGROQUIMICOS[[#This Row],[SALIDAS]]</f>
        <v>19.5</v>
      </c>
      <c r="I102" s="34">
        <v>417.6</v>
      </c>
      <c r="J102" s="44">
        <f>INV.AGROQUIMICOS[[#This Row],[STOCK ACTUAL]]*INV.AGROQUIMICOS[[#This Row],[PRECIOS UNITARIOS EN BS]]</f>
        <v>8143.2000000000007</v>
      </c>
      <c r="K102" s="52"/>
    </row>
    <row r="103" spans="1:11" ht="15.75" x14ac:dyDescent="0.25">
      <c r="A103" s="13" t="s">
        <v>375</v>
      </c>
      <c r="B103" s="14" t="s">
        <v>381</v>
      </c>
      <c r="C103" t="s">
        <v>386</v>
      </c>
      <c r="D103" t="s">
        <v>388</v>
      </c>
      <c r="E103" t="s">
        <v>392</v>
      </c>
      <c r="F103" s="32">
        <f>SUMIF(ING.ABROQUIMICOS[CODIGO],A98:A230,ING.ABROQUIMICOS[CANTIDAD])</f>
        <v>19.5</v>
      </c>
      <c r="G103" s="31">
        <f>SUMIF(SAL.AGROQUIMICOS[CodigoProducto],A98:A230,SAL.AGROQUIMICOS[Dosis])</f>
        <v>0</v>
      </c>
      <c r="H103" s="33">
        <f>INV.AGROQUIMICOS[[#This Row],[ENTRADAS ]]-INV.AGROQUIMICOS[[#This Row],[SALIDAS]]</f>
        <v>19.5</v>
      </c>
      <c r="I103" s="34">
        <v>730.8</v>
      </c>
      <c r="J103" s="44">
        <f>INV.AGROQUIMICOS[[#This Row],[STOCK ACTUAL]]*INV.AGROQUIMICOS[[#This Row],[PRECIOS UNITARIOS EN BS]]</f>
        <v>14250.599999999999</v>
      </c>
      <c r="K103" s="52"/>
    </row>
    <row r="104" spans="1:11" ht="15.75" x14ac:dyDescent="0.25">
      <c r="A104" s="13" t="s">
        <v>376</v>
      </c>
      <c r="B104" s="14" t="s">
        <v>382</v>
      </c>
      <c r="C104" t="s">
        <v>387</v>
      </c>
      <c r="D104" t="s">
        <v>388</v>
      </c>
      <c r="E104" t="s">
        <v>387</v>
      </c>
      <c r="F104" s="32">
        <f>SUMIF(ING.ABROQUIMICOS[CODIGO],A98:A231,ING.ABROQUIMICOS[CANTIDAD])</f>
        <v>19</v>
      </c>
      <c r="G104" s="31">
        <f>SUMIF(SAL.AGROQUIMICOS[CodigoProducto],A98:A231,SAL.AGROQUIMICOS[Dosis])</f>
        <v>0</v>
      </c>
      <c r="H104" s="33">
        <f>INV.AGROQUIMICOS[[#This Row],[ENTRADAS ]]-INV.AGROQUIMICOS[[#This Row],[SALIDAS]]</f>
        <v>19</v>
      </c>
      <c r="I104" s="34">
        <v>522</v>
      </c>
      <c r="J104" s="44">
        <f>INV.AGROQUIMICOS[[#This Row],[STOCK ACTUAL]]*INV.AGROQUIMICOS[[#This Row],[PRECIOS UNITARIOS EN BS]]</f>
        <v>9918</v>
      </c>
      <c r="K104" s="52"/>
    </row>
    <row r="105" spans="1:11" ht="15.75" x14ac:dyDescent="0.25">
      <c r="A105" s="13" t="s">
        <v>377</v>
      </c>
      <c r="B105" s="14" t="s">
        <v>383</v>
      </c>
      <c r="C105" t="s">
        <v>218</v>
      </c>
      <c r="D105" t="s">
        <v>388</v>
      </c>
      <c r="E105" t="s">
        <v>391</v>
      </c>
      <c r="F105" s="32">
        <f>SUMIF(ING.ABROQUIMICOS[CODIGO],A98:A232,ING.ABROQUIMICOS[CANTIDAD])</f>
        <v>45</v>
      </c>
      <c r="G105" s="31">
        <f>SUMIF(SAL.AGROQUIMICOS[CodigoProducto],A98:A232,SAL.AGROQUIMICOS[Dosis])</f>
        <v>0</v>
      </c>
      <c r="H105" s="33">
        <f>INV.AGROQUIMICOS[[#This Row],[ENTRADAS ]]-INV.AGROQUIMICOS[[#This Row],[SALIDAS]]</f>
        <v>45</v>
      </c>
      <c r="I105" s="55">
        <v>556.79999999999995</v>
      </c>
      <c r="J105" s="44">
        <f>INV.AGROQUIMICOS[[#This Row],[STOCK ACTUAL]]*INV.AGROQUIMICOS[[#This Row],[PRECIOS UNITARIOS EN BS]]</f>
        <v>25055.999999999996</v>
      </c>
      <c r="K105" s="52"/>
    </row>
    <row r="106" spans="1:11" ht="15.75" x14ac:dyDescent="0.25">
      <c r="A106" s="13" t="s">
        <v>394</v>
      </c>
      <c r="B106" t="s">
        <v>563</v>
      </c>
      <c r="C106" t="s">
        <v>395</v>
      </c>
      <c r="D106" s="14" t="s">
        <v>151</v>
      </c>
      <c r="E106" s="15" t="s">
        <v>9</v>
      </c>
      <c r="F106" s="32">
        <f>SUMIF(ING.ABROQUIMICOS[CODIGO],A105:A232,ING.ABROQUIMICOS[CANTIDAD])</f>
        <v>44</v>
      </c>
      <c r="G106" s="31">
        <f>SUMIF(SAL.AGROQUIMICOS[CodigoProducto],A105:A232,SAL.AGROQUIMICOS[Dosis])</f>
        <v>0</v>
      </c>
      <c r="H106" s="33">
        <f>INV.AGROQUIMICOS[[#This Row],[ENTRADAS ]]-INV.AGROQUIMICOS[[#This Row],[SALIDAS]]</f>
        <v>44</v>
      </c>
      <c r="I106" s="54">
        <v>285.36</v>
      </c>
      <c r="J106" s="44">
        <f>INV.AGROQUIMICOS[[#This Row],[STOCK ACTUAL]]*INV.AGROQUIMICOS[[#This Row],[PRECIOS UNITARIOS EN BS]]</f>
        <v>12555.84</v>
      </c>
      <c r="K106" s="52"/>
    </row>
    <row r="107" spans="1:11" ht="15.75" x14ac:dyDescent="0.25">
      <c r="A107" s="13" t="s">
        <v>396</v>
      </c>
      <c r="B107" s="14" t="s">
        <v>399</v>
      </c>
      <c r="C107" s="18" t="s">
        <v>402</v>
      </c>
      <c r="D107" s="14" t="s">
        <v>151</v>
      </c>
      <c r="E107" s="15" t="s">
        <v>6</v>
      </c>
      <c r="F107" s="32">
        <f>SUMIF(ING.ABROQUIMICOS[CODIGO],A106:A230,ING.ABROQUIMICOS[CANTIDAD])</f>
        <v>7</v>
      </c>
      <c r="G107" s="31">
        <f>SUMIF(SAL.AGROQUIMICOS[CodigoProducto],A106:A230,SAL.AGROQUIMICOS[Dosis])</f>
        <v>0</v>
      </c>
      <c r="H107" s="33">
        <f>INV.AGROQUIMICOS[[#This Row],[ENTRADAS ]]-INV.AGROQUIMICOS[[#This Row],[SALIDAS]]</f>
        <v>7</v>
      </c>
      <c r="I107" s="54">
        <v>5011.2</v>
      </c>
      <c r="J107" s="44">
        <f>INV.AGROQUIMICOS[[#This Row],[STOCK ACTUAL]]*INV.AGROQUIMICOS[[#This Row],[PRECIOS UNITARIOS EN BS]]</f>
        <v>35078.400000000001</v>
      </c>
      <c r="K107" s="52"/>
    </row>
    <row r="108" spans="1:11" ht="15.75" x14ac:dyDescent="0.25">
      <c r="A108" s="13" t="s">
        <v>397</v>
      </c>
      <c r="B108" s="14" t="s">
        <v>400</v>
      </c>
      <c r="C108" s="18" t="s">
        <v>403</v>
      </c>
      <c r="D108" s="14" t="s">
        <v>150</v>
      </c>
      <c r="E108" s="15" t="s">
        <v>152</v>
      </c>
      <c r="F108" s="32">
        <f>SUMIF(ING.ABROQUIMICOS[CODIGO],A106:A231,ING.ABROQUIMICOS[CANTIDAD])</f>
        <v>95</v>
      </c>
      <c r="G108" s="31">
        <f>SUMIF(SAL.AGROQUIMICOS[CodigoProducto],A106:A231,SAL.AGROQUIMICOS[Dosis])</f>
        <v>0</v>
      </c>
      <c r="H108" s="33">
        <f>INV.AGROQUIMICOS[[#This Row],[ENTRADAS ]]-INV.AGROQUIMICOS[[#This Row],[SALIDAS]]</f>
        <v>95</v>
      </c>
      <c r="I108" s="54">
        <v>111.36</v>
      </c>
      <c r="J108" s="44">
        <f>INV.AGROQUIMICOS[[#This Row],[STOCK ACTUAL]]*INV.AGROQUIMICOS[[#This Row],[PRECIOS UNITARIOS EN BS]]</f>
        <v>10579.2</v>
      </c>
      <c r="K108" s="52"/>
    </row>
    <row r="109" spans="1:11" ht="15.75" x14ac:dyDescent="0.25">
      <c r="A109" s="13" t="s">
        <v>398</v>
      </c>
      <c r="B109" s="14" t="s">
        <v>401</v>
      </c>
      <c r="C109" s="18" t="s">
        <v>404</v>
      </c>
      <c r="D109" s="14" t="s">
        <v>150</v>
      </c>
      <c r="E109" s="15" t="s">
        <v>152</v>
      </c>
      <c r="F109" s="32">
        <f>SUMIF(ING.ABROQUIMICOS[CODIGO],A106:A232,ING.ABROQUIMICOS[CANTIDAD])</f>
        <v>423</v>
      </c>
      <c r="G109" s="31">
        <f>SUMIF(SAL.AGROQUIMICOS[CodigoProducto],A106:A232,SAL.AGROQUIMICOS[Dosis])</f>
        <v>0</v>
      </c>
      <c r="H109" s="33">
        <f>INV.AGROQUIMICOS[[#This Row],[ENTRADAS ]]-INV.AGROQUIMICOS[[#This Row],[SALIDAS]]</f>
        <v>423</v>
      </c>
      <c r="I109" s="54">
        <v>167.04</v>
      </c>
      <c r="J109" s="44">
        <f>INV.AGROQUIMICOS[[#This Row],[STOCK ACTUAL]]*INV.AGROQUIMICOS[[#This Row],[PRECIOS UNITARIOS EN BS]]</f>
        <v>70657.919999999998</v>
      </c>
      <c r="K109" s="52"/>
    </row>
    <row r="110" spans="1:11" ht="15.75" x14ac:dyDescent="0.25">
      <c r="A110" s="13" t="s">
        <v>405</v>
      </c>
      <c r="B110" s="14" t="s">
        <v>406</v>
      </c>
      <c r="C110" s="18" t="s">
        <v>407</v>
      </c>
      <c r="D110" s="14" t="s">
        <v>150</v>
      </c>
      <c r="E110" s="15" t="s">
        <v>152</v>
      </c>
      <c r="F110" s="32">
        <f>SUMIF(ING.ABROQUIMICOS[CODIGO],A109:A232,ING.ABROQUIMICOS[CANTIDAD])</f>
        <v>106</v>
      </c>
      <c r="G110" s="31">
        <f>SUMIF(SAL.AGROQUIMICOS[CodigoProducto],A109:A232,SAL.AGROQUIMICOS[Dosis])</f>
        <v>0</v>
      </c>
      <c r="H110" s="33">
        <f>INV.AGROQUIMICOS[[#This Row],[ENTRADAS ]]-INV.AGROQUIMICOS[[#This Row],[SALIDAS]]</f>
        <v>106</v>
      </c>
      <c r="I110" s="54">
        <v>194.88</v>
      </c>
      <c r="J110" s="44">
        <f>INV.AGROQUIMICOS[[#This Row],[STOCK ACTUAL]]*INV.AGROQUIMICOS[[#This Row],[PRECIOS UNITARIOS EN BS]]</f>
        <v>20657.28</v>
      </c>
      <c r="K110" s="52"/>
    </row>
    <row r="111" spans="1:11" ht="15.75" x14ac:dyDescent="0.25">
      <c r="A111" s="13" t="s">
        <v>408</v>
      </c>
      <c r="B111" s="14" t="s">
        <v>410</v>
      </c>
      <c r="C111" s="18" t="s">
        <v>412</v>
      </c>
      <c r="D111" s="14" t="s">
        <v>150</v>
      </c>
      <c r="E111" s="15" t="s">
        <v>6</v>
      </c>
      <c r="F111" s="32">
        <v>320</v>
      </c>
      <c r="G111" s="31">
        <f>SUMIF(SAL.AGROQUIMICOS[CodigoProducto],A110:A231,SAL.AGROQUIMICOS[Dosis])</f>
        <v>0</v>
      </c>
      <c r="H111" s="33">
        <f>INV.AGROQUIMICOS[[#This Row],[ENTRADAS ]]-INV.AGROQUIMICOS[[#This Row],[SALIDAS]]</f>
        <v>320</v>
      </c>
      <c r="I111" s="54">
        <v>100.92</v>
      </c>
      <c r="J111" s="44">
        <f>INV.AGROQUIMICOS[[#This Row],[STOCK ACTUAL]]*INV.AGROQUIMICOS[[#This Row],[PRECIOS UNITARIOS EN BS]]</f>
        <v>32294.400000000001</v>
      </c>
      <c r="K111" s="52"/>
    </row>
    <row r="112" spans="1:11" ht="15.75" x14ac:dyDescent="0.25">
      <c r="A112" s="13" t="s">
        <v>409</v>
      </c>
      <c r="B112" s="14" t="s">
        <v>411</v>
      </c>
      <c r="C112" s="18" t="s">
        <v>223</v>
      </c>
      <c r="D112" s="14" t="s">
        <v>150</v>
      </c>
      <c r="E112" s="15" t="s">
        <v>6</v>
      </c>
      <c r="F112" s="32">
        <v>125</v>
      </c>
      <c r="G112" s="31">
        <f>SUMIF(SAL.AGROQUIMICOS[CodigoProducto],A110:A232,SAL.AGROQUIMICOS[Dosis])</f>
        <v>0</v>
      </c>
      <c r="H112" s="33">
        <f>INV.AGROQUIMICOS[[#This Row],[ENTRADAS ]]-INV.AGROQUIMICOS[[#This Row],[SALIDAS]]</f>
        <v>125</v>
      </c>
      <c r="I112" s="54">
        <v>173.304</v>
      </c>
      <c r="J112" s="44">
        <f>INV.AGROQUIMICOS[[#This Row],[STOCK ACTUAL]]*INV.AGROQUIMICOS[[#This Row],[PRECIOS UNITARIOS EN BS]]</f>
        <v>21663</v>
      </c>
      <c r="K112" s="52"/>
    </row>
    <row r="113" spans="1:11" ht="15.75" x14ac:dyDescent="0.25">
      <c r="A113" s="13" t="s">
        <v>414</v>
      </c>
      <c r="B113" s="14" t="s">
        <v>417</v>
      </c>
      <c r="C113" s="18" t="s">
        <v>420</v>
      </c>
      <c r="D113" s="14" t="s">
        <v>151</v>
      </c>
      <c r="E113" s="15" t="s">
        <v>6</v>
      </c>
      <c r="F113" s="32">
        <f>SUMIF(ING.ABROQUIMICOS[CODIGO],A112:A231,ING.ABROQUIMICOS[CANTIDAD])</f>
        <v>1400</v>
      </c>
      <c r="G113" s="31">
        <f>SUMIF(SAL.AGROQUIMICOS[CodigoProducto],A112:A231,SAL.AGROQUIMICOS[Dosis])</f>
        <v>0</v>
      </c>
      <c r="H113" s="33">
        <f>INV.AGROQUIMICOS[[#This Row],[ENTRADAS ]]-INV.AGROQUIMICOS[[#This Row],[SALIDAS]]</f>
        <v>1400</v>
      </c>
      <c r="I113" s="54">
        <v>121.661</v>
      </c>
      <c r="J113" s="44">
        <f>INV.AGROQUIMICOS[[#This Row],[STOCK ACTUAL]]*INV.AGROQUIMICOS[[#This Row],[PRECIOS UNITARIOS EN BS]]</f>
        <v>170325.4</v>
      </c>
      <c r="K113" s="52"/>
    </row>
    <row r="114" spans="1:11" ht="15.75" x14ac:dyDescent="0.25">
      <c r="A114" s="13" t="s">
        <v>415</v>
      </c>
      <c r="B114" s="14" t="s">
        <v>418</v>
      </c>
      <c r="C114" s="18" t="s">
        <v>421</v>
      </c>
      <c r="D114" s="14" t="s">
        <v>150</v>
      </c>
      <c r="E114" s="15" t="s">
        <v>9</v>
      </c>
      <c r="F114" s="32">
        <f>SUMIF(ING.ABROQUIMICOS[CODIGO],A112:A232,ING.ABROQUIMICOS[CANTIDAD])</f>
        <v>85</v>
      </c>
      <c r="G114" s="31">
        <f>SUMIF(SAL.AGROQUIMICOS[CodigoProducto],A112:A232,SAL.AGROQUIMICOS[Dosis])</f>
        <v>0</v>
      </c>
      <c r="H114" s="33">
        <f>INV.AGROQUIMICOS[[#This Row],[ENTRADAS ]]-INV.AGROQUIMICOS[[#This Row],[SALIDAS]]</f>
        <v>85</v>
      </c>
      <c r="I114" s="54">
        <v>407.16</v>
      </c>
      <c r="J114" s="44">
        <f>INV.AGROQUIMICOS[[#This Row],[STOCK ACTUAL]]*INV.AGROQUIMICOS[[#This Row],[PRECIOS UNITARIOS EN BS]]</f>
        <v>34608.6</v>
      </c>
      <c r="K114" s="52"/>
    </row>
    <row r="115" spans="1:11" ht="15.75" x14ac:dyDescent="0.25">
      <c r="A115" s="13" t="s">
        <v>416</v>
      </c>
      <c r="B115" s="14" t="s">
        <v>419</v>
      </c>
      <c r="C115" s="18" t="s">
        <v>422</v>
      </c>
      <c r="D115" s="14" t="s">
        <v>150</v>
      </c>
      <c r="E115" s="15" t="s">
        <v>152</v>
      </c>
      <c r="F115" s="32">
        <f>SUMIF(ING.ABROQUIMICOS[CODIGO],A114:A232,ING.ABROQUIMICOS[CANTIDAD])</f>
        <v>40</v>
      </c>
      <c r="G115" s="31">
        <f>SUMIF(SAL.AGROQUIMICOS[CodigoProducto],A114:A232,SAL.AGROQUIMICOS[Dosis])</f>
        <v>0</v>
      </c>
      <c r="H115" s="33">
        <f>INV.AGROQUIMICOS[[#This Row],[ENTRADAS ]]-INV.AGROQUIMICOS[[#This Row],[SALIDAS]]</f>
        <v>40</v>
      </c>
      <c r="I115" s="54">
        <v>125.28</v>
      </c>
      <c r="J115" s="44">
        <f>INV.AGROQUIMICOS[[#This Row],[STOCK ACTUAL]]*INV.AGROQUIMICOS[[#This Row],[PRECIOS UNITARIOS EN BS]]</f>
        <v>5011.2</v>
      </c>
      <c r="K115" s="52"/>
    </row>
    <row r="116" spans="1:11" ht="15.75" x14ac:dyDescent="0.25">
      <c r="A116" s="13" t="s">
        <v>424</v>
      </c>
      <c r="B116" s="14" t="s">
        <v>431</v>
      </c>
      <c r="C116" s="18" t="s">
        <v>311</v>
      </c>
      <c r="D116" s="14" t="s">
        <v>150</v>
      </c>
      <c r="E116" s="15" t="s">
        <v>152</v>
      </c>
      <c r="F116" s="32">
        <f>SUMIF(ING.ABROQUIMICOS[CODIGO],A115:A230,ING.ABROQUIMICOS[CANTIDAD])</f>
        <v>64</v>
      </c>
      <c r="G116" s="31">
        <f>SUMIF(SAL.AGROQUIMICOS[CodigoProducto],A115:A230,SAL.AGROQUIMICOS[Dosis])</f>
        <v>0</v>
      </c>
      <c r="H116" s="33">
        <f>INV.AGROQUIMICOS[[#This Row],[ENTRADAS ]]-INV.AGROQUIMICOS[[#This Row],[SALIDAS]]</f>
        <v>64</v>
      </c>
      <c r="I116" s="54">
        <v>160.08000000000001</v>
      </c>
      <c r="J116" s="44">
        <f>INV.AGROQUIMICOS[[#This Row],[STOCK ACTUAL]]*INV.AGROQUIMICOS[[#This Row],[PRECIOS UNITARIOS EN BS]]</f>
        <v>10245.120000000001</v>
      </c>
      <c r="K116" s="52"/>
    </row>
    <row r="117" spans="1:11" ht="15.75" x14ac:dyDescent="0.25">
      <c r="A117" s="13" t="s">
        <v>423</v>
      </c>
      <c r="B117" s="14" t="s">
        <v>104</v>
      </c>
      <c r="C117" s="18" t="s">
        <v>366</v>
      </c>
      <c r="D117" s="14" t="s">
        <v>150</v>
      </c>
      <c r="E117" s="15" t="s">
        <v>10</v>
      </c>
      <c r="F117" s="32">
        <f>SUMIF(ING.ABROQUIMICOS[CODIGO],A115:A231,ING.ABROQUIMICOS[CANTIDAD])</f>
        <v>130</v>
      </c>
      <c r="G117" s="31">
        <f>SUMIF(SAL.AGROQUIMICOS[CodigoProducto],A115:A231,SAL.AGROQUIMICOS[Dosis])</f>
        <v>0</v>
      </c>
      <c r="H117" s="33">
        <f>INV.AGROQUIMICOS[[#This Row],[ENTRADAS ]]-INV.AGROQUIMICOS[[#This Row],[SALIDAS]]</f>
        <v>130</v>
      </c>
      <c r="I117" s="54">
        <v>190.70400000000001</v>
      </c>
      <c r="J117" s="44">
        <f>INV.AGROQUIMICOS[[#This Row],[STOCK ACTUAL]]*INV.AGROQUIMICOS[[#This Row],[PRECIOS UNITARIOS EN BS]]</f>
        <v>24791.52</v>
      </c>
      <c r="K117" s="52"/>
    </row>
    <row r="118" spans="1:11" ht="15.75" x14ac:dyDescent="0.25">
      <c r="A118" s="13" t="s">
        <v>425</v>
      </c>
      <c r="B118" s="14" t="s">
        <v>426</v>
      </c>
      <c r="C118" s="18" t="s">
        <v>427</v>
      </c>
      <c r="D118" s="14" t="s">
        <v>150</v>
      </c>
      <c r="E118" s="15" t="s">
        <v>152</v>
      </c>
      <c r="F118" s="32">
        <f>SUMIF(ING.ABROQUIMICOS[CODIGO],A115:A232,ING.ABROQUIMICOS[CANTIDAD])</f>
        <v>215</v>
      </c>
      <c r="G118" s="31">
        <f>SUMIF(SAL.AGROQUIMICOS[CodigoProducto],A115:A232,SAL.AGROQUIMICOS[Dosis])</f>
        <v>0</v>
      </c>
      <c r="H118" s="33">
        <f>INV.AGROQUIMICOS[[#This Row],[ENTRADAS ]]-INV.AGROQUIMICOS[[#This Row],[SALIDAS]]</f>
        <v>215</v>
      </c>
      <c r="I118" s="54">
        <v>208.8</v>
      </c>
      <c r="J118" s="44">
        <f>INV.AGROQUIMICOS[[#This Row],[STOCK ACTUAL]]*INV.AGROQUIMICOS[[#This Row],[PRECIOS UNITARIOS EN BS]]</f>
        <v>44892</v>
      </c>
      <c r="K118" s="52"/>
    </row>
    <row r="119" spans="1:11" ht="15.75" x14ac:dyDescent="0.25">
      <c r="A119" s="13" t="s">
        <v>428</v>
      </c>
      <c r="B119" s="14" t="s">
        <v>429</v>
      </c>
      <c r="C119" t="s">
        <v>430</v>
      </c>
      <c r="D119" s="14" t="s">
        <v>151</v>
      </c>
      <c r="E119" s="15" t="s">
        <v>9</v>
      </c>
      <c r="F119" s="32">
        <f>SUMIF(ING.ABROQUIMICOS[CODIGO],A118:A232,ING.ABROQUIMICOS[CANTIDAD])</f>
        <v>56</v>
      </c>
      <c r="G119" s="31">
        <f>SUMIF(SAL.AGROQUIMICOS[CodigoProducto],A118:A232,SAL.AGROQUIMICOS[Dosis])</f>
        <v>0</v>
      </c>
      <c r="H119" s="33">
        <f>INV.AGROQUIMICOS[[#This Row],[ENTRADAS ]]-INV.AGROQUIMICOS[[#This Row],[SALIDAS]]</f>
        <v>56</v>
      </c>
      <c r="I119" s="54">
        <v>1398.96</v>
      </c>
      <c r="J119" s="44">
        <f>INV.AGROQUIMICOS[[#This Row],[STOCK ACTUAL]]*INV.AGROQUIMICOS[[#This Row],[PRECIOS UNITARIOS EN BS]]</f>
        <v>78341.760000000009</v>
      </c>
      <c r="K119" s="52"/>
    </row>
    <row r="120" spans="1:11" ht="15.75" x14ac:dyDescent="0.25">
      <c r="A120" s="13" t="s">
        <v>432</v>
      </c>
      <c r="B120" s="14" t="s">
        <v>435</v>
      </c>
      <c r="C120" s="18" t="s">
        <v>436</v>
      </c>
      <c r="D120" s="14" t="s">
        <v>150</v>
      </c>
      <c r="E120" s="15" t="s">
        <v>6</v>
      </c>
      <c r="F120" s="32">
        <f>SUMIF(ING.ABROQUIMICOS[CODIGO],A119:A231,ING.ABROQUIMICOS[CANTIDAD])</f>
        <v>310</v>
      </c>
      <c r="G120" s="31">
        <f>SUMIF(SAL.AGROQUIMICOS[CodigoProducto],A119:A231,SAL.AGROQUIMICOS[Dosis])</f>
        <v>0</v>
      </c>
      <c r="H120" s="33">
        <f>INV.AGROQUIMICOS[[#This Row],[ENTRADAS ]]-INV.AGROQUIMICOS[[#This Row],[SALIDAS]]</f>
        <v>310</v>
      </c>
      <c r="I120" s="54">
        <v>139.19999999999999</v>
      </c>
      <c r="J120" s="44">
        <f>INV.AGROQUIMICOS[[#This Row],[STOCK ACTUAL]]*INV.AGROQUIMICOS[[#This Row],[PRECIOS UNITARIOS EN BS]]</f>
        <v>43152</v>
      </c>
      <c r="K120" s="52"/>
    </row>
    <row r="121" spans="1:11" ht="15.75" x14ac:dyDescent="0.25">
      <c r="A121" s="13" t="s">
        <v>433</v>
      </c>
      <c r="B121" s="14" t="s">
        <v>437</v>
      </c>
      <c r="C121" s="18" t="s">
        <v>438</v>
      </c>
      <c r="D121" s="14" t="s">
        <v>150</v>
      </c>
      <c r="E121" s="15" t="s">
        <v>9</v>
      </c>
      <c r="F121" s="32">
        <f>SUMIF(ING.ABROQUIMICOS[CODIGO],A119:A232,ING.ABROQUIMICOS[CANTIDAD])</f>
        <v>260</v>
      </c>
      <c r="G121" s="31">
        <f>SUMIF(SAL.AGROQUIMICOS[CodigoProducto],A119:A232,SAL.AGROQUIMICOS[Dosis])</f>
        <v>0</v>
      </c>
      <c r="H121" s="33">
        <f>INV.AGROQUIMICOS[[#This Row],[ENTRADAS ]]-INV.AGROQUIMICOS[[#This Row],[SALIDAS]]</f>
        <v>260</v>
      </c>
      <c r="I121" s="54">
        <v>257.52</v>
      </c>
      <c r="J121" s="44">
        <f>INV.AGROQUIMICOS[[#This Row],[STOCK ACTUAL]]*INV.AGROQUIMICOS[[#This Row],[PRECIOS UNITARIOS EN BS]]</f>
        <v>66955.199999999997</v>
      </c>
      <c r="K121" s="52"/>
    </row>
    <row r="122" spans="1:11" ht="15.75" x14ac:dyDescent="0.25">
      <c r="A122" s="13" t="s">
        <v>434</v>
      </c>
      <c r="B122" s="14" t="s">
        <v>439</v>
      </c>
      <c r="C122" s="18" t="s">
        <v>440</v>
      </c>
      <c r="D122" s="14" t="s">
        <v>151</v>
      </c>
      <c r="E122" s="15" t="s">
        <v>441</v>
      </c>
      <c r="F122" s="32">
        <f>SUMIF(ING.ABROQUIMICOS[CODIGO],A121:A232,ING.ABROQUIMICOS[CANTIDAD])</f>
        <v>727000</v>
      </c>
      <c r="G122" s="31">
        <f>SUMIF(SAL.AGROQUIMICOS[CodigoProducto],A121:A232,SAL.AGROQUIMICOS[Dosis])</f>
        <v>0</v>
      </c>
      <c r="H122" s="33">
        <f>INV.AGROQUIMICOS[[#This Row],[ENTRADAS ]]-INV.AGROQUIMICOS[[#This Row],[SALIDAS]]</f>
        <v>727000</v>
      </c>
      <c r="I122" s="54">
        <v>1</v>
      </c>
      <c r="J122" s="44">
        <f>INV.AGROQUIMICOS[[#This Row],[STOCK ACTUAL]]*INV.AGROQUIMICOS[[#This Row],[PRECIOS UNITARIOS EN BS]]</f>
        <v>727000</v>
      </c>
      <c r="K122" s="52"/>
    </row>
    <row r="123" spans="1:11" ht="15.75" x14ac:dyDescent="0.25">
      <c r="A123" s="13" t="s">
        <v>444</v>
      </c>
      <c r="B123" s="14" t="s">
        <v>445</v>
      </c>
      <c r="C123" s="53" t="s">
        <v>446</v>
      </c>
      <c r="D123" s="14" t="s">
        <v>150</v>
      </c>
      <c r="E123" s="15" t="s">
        <v>10</v>
      </c>
      <c r="F123" s="32">
        <f>SUMIF(ING.ABROQUIMICOS[CODIGO],A122:A232,ING.ABROQUIMICOS[CANTIDAD])</f>
        <v>85</v>
      </c>
      <c r="G123" s="31">
        <f>SUMIF(SAL.AGROQUIMICOS[CodigoProducto],A122:A232,SAL.AGROQUIMICOS[Dosis])</f>
        <v>0</v>
      </c>
      <c r="H123" s="33">
        <f>INV.AGROQUIMICOS[[#This Row],[ENTRADAS ]]-INV.AGROQUIMICOS[[#This Row],[SALIDAS]]</f>
        <v>85</v>
      </c>
      <c r="I123" s="54">
        <v>408.24</v>
      </c>
      <c r="J123" s="44">
        <f>INV.AGROQUIMICOS[[#This Row],[STOCK ACTUAL]]*INV.AGROQUIMICOS[[#This Row],[PRECIOS UNITARIOS EN BS]]</f>
        <v>34700.400000000001</v>
      </c>
      <c r="K123" s="52"/>
    </row>
    <row r="124" spans="1:11" ht="15.75" x14ac:dyDescent="0.25">
      <c r="A124" s="13" t="s">
        <v>447</v>
      </c>
      <c r="B124" s="14" t="s">
        <v>450</v>
      </c>
      <c r="C124" s="18" t="s">
        <v>221</v>
      </c>
      <c r="D124" s="14" t="s">
        <v>150</v>
      </c>
      <c r="E124" s="15" t="s">
        <v>6</v>
      </c>
      <c r="F124" s="32">
        <f>SUMIF(ING.ABROQUIMICOS[CODIGO],A123:A230,ING.ABROQUIMICOS[CANTIDAD])</f>
        <v>150</v>
      </c>
      <c r="G124" s="31">
        <f>SUMIF(SAL.AGROQUIMICOS[CodigoProducto],A123:A230,SAL.AGROQUIMICOS[Dosis])</f>
        <v>0</v>
      </c>
      <c r="H124" s="33">
        <f>INV.AGROQUIMICOS[[#This Row],[ENTRADAS ]]-INV.AGROQUIMICOS[[#This Row],[SALIDAS]]</f>
        <v>150</v>
      </c>
      <c r="I124" s="54">
        <v>132.24</v>
      </c>
      <c r="J124" s="44">
        <f>INV.AGROQUIMICOS[[#This Row],[STOCK ACTUAL]]*INV.AGROQUIMICOS[[#This Row],[PRECIOS UNITARIOS EN BS]]</f>
        <v>19836</v>
      </c>
      <c r="K124" s="52"/>
    </row>
    <row r="125" spans="1:11" ht="15.75" x14ac:dyDescent="0.25">
      <c r="A125" s="13" t="s">
        <v>448</v>
      </c>
      <c r="B125" s="14" t="s">
        <v>134</v>
      </c>
      <c r="C125" s="18" t="s">
        <v>451</v>
      </c>
      <c r="D125" s="14" t="s">
        <v>150</v>
      </c>
      <c r="E125" s="15" t="s">
        <v>452</v>
      </c>
      <c r="F125" s="32">
        <f>SUMIF(ING.ABROQUIMICOS[CODIGO],A123:A231,ING.ABROQUIMICOS[CANTIDAD])</f>
        <v>12</v>
      </c>
      <c r="G125" s="31">
        <f>SUMIF(SAL.AGROQUIMICOS[CodigoProducto],A123:A231,SAL.AGROQUIMICOS[Dosis])</f>
        <v>0</v>
      </c>
      <c r="H125" s="33">
        <f>INV.AGROQUIMICOS[[#This Row],[ENTRADAS ]]-INV.AGROQUIMICOS[[#This Row],[SALIDAS]]</f>
        <v>12</v>
      </c>
      <c r="I125" s="54">
        <v>278.39999999999998</v>
      </c>
      <c r="J125" s="44">
        <f>INV.AGROQUIMICOS[[#This Row],[STOCK ACTUAL]]*INV.AGROQUIMICOS[[#This Row],[PRECIOS UNITARIOS EN BS]]</f>
        <v>3340.7999999999997</v>
      </c>
      <c r="K125" s="52"/>
    </row>
    <row r="126" spans="1:11" ht="15.75" x14ac:dyDescent="0.25">
      <c r="A126" s="13" t="s">
        <v>449</v>
      </c>
      <c r="B126" s="14" t="s">
        <v>453</v>
      </c>
      <c r="C126" s="18" t="s">
        <v>152</v>
      </c>
      <c r="D126" s="14" t="s">
        <v>150</v>
      </c>
      <c r="E126" s="15" t="s">
        <v>152</v>
      </c>
      <c r="F126" s="32">
        <f>SUMIF(ING.ABROQUIMICOS[CODIGO],A123:A232,ING.ABROQUIMICOS[CANTIDAD])</f>
        <v>14</v>
      </c>
      <c r="G126" s="31">
        <f>SUMIF(SAL.AGROQUIMICOS[CodigoProducto],A123:A232,SAL.AGROQUIMICOS[Dosis])</f>
        <v>0</v>
      </c>
      <c r="H126" s="33">
        <f>INV.AGROQUIMICOS[[#This Row],[ENTRADAS ]]-INV.AGROQUIMICOS[[#This Row],[SALIDAS]]</f>
        <v>14</v>
      </c>
      <c r="I126" s="54">
        <v>292.32</v>
      </c>
      <c r="J126" s="44">
        <f>INV.AGROQUIMICOS[[#This Row],[STOCK ACTUAL]]*INV.AGROQUIMICOS[[#This Row],[PRECIOS UNITARIOS EN BS]]</f>
        <v>4092.48</v>
      </c>
      <c r="K126" s="52"/>
    </row>
    <row r="127" spans="1:11" ht="15.75" x14ac:dyDescent="0.25">
      <c r="A127" s="13" t="s">
        <v>454</v>
      </c>
      <c r="B127" s="14" t="s">
        <v>455</v>
      </c>
      <c r="C127" s="18" t="s">
        <v>456</v>
      </c>
      <c r="D127" s="14" t="s">
        <v>150</v>
      </c>
      <c r="E127" s="15" t="s">
        <v>6</v>
      </c>
      <c r="F127" s="32">
        <f>SUMIF(ING.ABROQUIMICOS[CODIGO],A126:A232,ING.ABROQUIMICOS[CANTIDAD])</f>
        <v>1000</v>
      </c>
      <c r="G127" s="31">
        <f>SUMIF(SAL.AGROQUIMICOS[CodigoProducto],A126:A232,SAL.AGROQUIMICOS[Dosis])</f>
        <v>0</v>
      </c>
      <c r="H127" s="33">
        <f>INV.AGROQUIMICOS[[#This Row],[ENTRADAS ]]-INV.AGROQUIMICOS[[#This Row],[SALIDAS]]</f>
        <v>1000</v>
      </c>
      <c r="I127" s="54">
        <v>58.463999999999999</v>
      </c>
      <c r="J127" s="44">
        <f>INV.AGROQUIMICOS[[#This Row],[STOCK ACTUAL]]*INV.AGROQUIMICOS[[#This Row],[PRECIOS UNITARIOS EN BS]]</f>
        <v>58464</v>
      </c>
      <c r="K127" s="52"/>
    </row>
    <row r="128" spans="1:11" ht="15.75" x14ac:dyDescent="0.25">
      <c r="A128" s="13" t="s">
        <v>458</v>
      </c>
      <c r="B128" s="14" t="s">
        <v>461</v>
      </c>
      <c r="C128" t="s">
        <v>462</v>
      </c>
      <c r="D128" s="14" t="s">
        <v>150</v>
      </c>
      <c r="E128" s="15" t="s">
        <v>6</v>
      </c>
      <c r="F128" s="32">
        <f>SUMIF(ING.ABROQUIMICOS[CODIGO],A127:A230,ING.ABROQUIMICOS[CANTIDAD])</f>
        <v>1000</v>
      </c>
      <c r="G128" s="31">
        <f>SUMIF(SAL.AGROQUIMICOS[CodigoProducto],A127:A230,SAL.AGROQUIMICOS[Dosis])</f>
        <v>0</v>
      </c>
      <c r="H128" s="33">
        <f>INV.AGROQUIMICOS[[#This Row],[ENTRADAS ]]-INV.AGROQUIMICOS[[#This Row],[SALIDAS]]</f>
        <v>1000</v>
      </c>
      <c r="I128" s="54">
        <v>69.599999999999994</v>
      </c>
      <c r="J128" s="44">
        <f>INV.AGROQUIMICOS[[#This Row],[STOCK ACTUAL]]*INV.AGROQUIMICOS[[#This Row],[PRECIOS UNITARIOS EN BS]]</f>
        <v>69600</v>
      </c>
      <c r="K128" s="52"/>
    </row>
    <row r="129" spans="1:11" ht="15.75" x14ac:dyDescent="0.25">
      <c r="A129" s="13" t="s">
        <v>459</v>
      </c>
      <c r="B129" s="14" t="s">
        <v>463</v>
      </c>
      <c r="C129" t="s">
        <v>464</v>
      </c>
      <c r="D129" s="14" t="s">
        <v>150</v>
      </c>
      <c r="E129" s="15" t="s">
        <v>6</v>
      </c>
      <c r="F129" s="32">
        <f>SUMIF(ING.ABROQUIMICOS[CODIGO],A127:A231,ING.ABROQUIMICOS[CANTIDAD])</f>
        <v>300</v>
      </c>
      <c r="G129" s="31">
        <f>SUMIF(SAL.AGROQUIMICOS[CodigoProducto],A127:A231,SAL.AGROQUIMICOS[Dosis])</f>
        <v>0</v>
      </c>
      <c r="H129" s="33">
        <f>INV.AGROQUIMICOS[[#This Row],[ENTRADAS ]]-INV.AGROQUIMICOS[[#This Row],[SALIDAS]]</f>
        <v>300</v>
      </c>
      <c r="I129" s="54">
        <v>55.68</v>
      </c>
      <c r="J129" s="44">
        <f>INV.AGROQUIMICOS[[#This Row],[STOCK ACTUAL]]*INV.AGROQUIMICOS[[#This Row],[PRECIOS UNITARIOS EN BS]]</f>
        <v>16704</v>
      </c>
      <c r="K129" s="52"/>
    </row>
    <row r="130" spans="1:11" ht="16.5" customHeight="1" x14ac:dyDescent="0.25">
      <c r="A130" s="13" t="s">
        <v>460</v>
      </c>
      <c r="B130" s="14" t="s">
        <v>465</v>
      </c>
      <c r="C130" s="18" t="s">
        <v>466</v>
      </c>
      <c r="D130" s="14" t="s">
        <v>150</v>
      </c>
      <c r="E130" s="15" t="s">
        <v>154</v>
      </c>
      <c r="F130" s="32">
        <f>SUMIF(ING.ABROQUIMICOS[CODIGO],A127:A232,ING.ABROQUIMICOS[CANTIDAD])</f>
        <v>375</v>
      </c>
      <c r="G130" s="31">
        <f>SUMIF(SAL.AGROQUIMICOS[CodigoProducto],A127:A232,SAL.AGROQUIMICOS[Dosis])</f>
        <v>0</v>
      </c>
      <c r="H130" s="33">
        <f>INV.AGROQUIMICOS[[#This Row],[ENTRADAS ]]-INV.AGROQUIMICOS[[#This Row],[SALIDAS]]</f>
        <v>375</v>
      </c>
      <c r="I130" s="54">
        <v>139.19999999999999</v>
      </c>
      <c r="J130" s="44">
        <f>INV.AGROQUIMICOS[[#This Row],[STOCK ACTUAL]]*INV.AGROQUIMICOS[[#This Row],[PRECIOS UNITARIOS EN BS]]</f>
        <v>52199.999999999993</v>
      </c>
      <c r="K130" s="52"/>
    </row>
    <row r="131" spans="1:11" ht="15.75" x14ac:dyDescent="0.25">
      <c r="A131" s="13" t="s">
        <v>467</v>
      </c>
      <c r="B131" s="14" t="s">
        <v>469</v>
      </c>
      <c r="C131" s="18" t="s">
        <v>256</v>
      </c>
      <c r="D131" s="14" t="s">
        <v>150</v>
      </c>
      <c r="E131" s="15" t="s">
        <v>9</v>
      </c>
      <c r="F131" s="32">
        <f>SUMIF(ING.ABROQUIMICOS[CODIGO],A130:A231,ING.ABROQUIMICOS[CANTIDAD])</f>
        <v>440</v>
      </c>
      <c r="G131" s="31">
        <f>SUMIF(SAL.AGROQUIMICOS[CodigoProducto],A130:A231,SAL.AGROQUIMICOS[Dosis])</f>
        <v>0</v>
      </c>
      <c r="H131" s="33">
        <f>INV.AGROQUIMICOS[[#This Row],[ENTRADAS ]]-INV.AGROQUIMICOS[[#This Row],[SALIDAS]]</f>
        <v>440</v>
      </c>
      <c r="I131" s="54">
        <v>139.19999999999999</v>
      </c>
      <c r="J131" s="44">
        <f>INV.AGROQUIMICOS[[#This Row],[STOCK ACTUAL]]*INV.AGROQUIMICOS[[#This Row],[PRECIOS UNITARIOS EN BS]]</f>
        <v>61247.999999999993</v>
      </c>
      <c r="K131" s="52"/>
    </row>
    <row r="132" spans="1:11" ht="15.75" x14ac:dyDescent="0.25">
      <c r="A132" s="13" t="s">
        <v>468</v>
      </c>
      <c r="B132" s="14" t="s">
        <v>470</v>
      </c>
      <c r="C132" s="18" t="s">
        <v>152</v>
      </c>
      <c r="D132" s="14" t="s">
        <v>150</v>
      </c>
      <c r="E132" s="15" t="s">
        <v>152</v>
      </c>
      <c r="F132" s="32">
        <f>SUMIF(ING.ABROQUIMICOS[CODIGO],A130:A232,ING.ABROQUIMICOS[CANTIDAD])</f>
        <v>44</v>
      </c>
      <c r="G132" s="31">
        <f>SUMIF(SAL.AGROQUIMICOS[CodigoProducto],A130:A232,SAL.AGROQUIMICOS[Dosis])</f>
        <v>0</v>
      </c>
      <c r="H132" s="33">
        <f>INV.AGROQUIMICOS[[#This Row],[ENTRADAS ]]-INV.AGROQUIMICOS[[#This Row],[SALIDAS]]</f>
        <v>44</v>
      </c>
      <c r="I132" s="54">
        <v>257.52</v>
      </c>
      <c r="J132" s="44">
        <f>INV.AGROQUIMICOS[[#This Row],[STOCK ACTUAL]]*INV.AGROQUIMICOS[[#This Row],[PRECIOS UNITARIOS EN BS]]</f>
        <v>11330.88</v>
      </c>
      <c r="K132" s="52"/>
    </row>
    <row r="133" spans="1:11" ht="15.75" x14ac:dyDescent="0.25">
      <c r="A133" s="13" t="s">
        <v>484</v>
      </c>
      <c r="B133" s="53" t="s">
        <v>496</v>
      </c>
      <c r="C133" s="18" t="s">
        <v>508</v>
      </c>
      <c r="D133" s="14" t="s">
        <v>150</v>
      </c>
      <c r="E133" s="15" t="s">
        <v>514</v>
      </c>
      <c r="F133" s="32">
        <f>SUMIF(ING.ABROQUIMICOS[CODIGO],A132:A220,ING.ABROQUIMICOS[CANTIDAD])</f>
        <v>50</v>
      </c>
      <c r="G133" s="31">
        <f>SUMIF(SAL.AGROQUIMICOS[CodigoProducto],A132:A220,SAL.AGROQUIMICOS[Dosis])</f>
        <v>0</v>
      </c>
      <c r="H133" s="33">
        <f>INV.AGROQUIMICOS[[#This Row],[ENTRADAS ]]-INV.AGROQUIMICOS[[#This Row],[SALIDAS]]</f>
        <v>50</v>
      </c>
      <c r="I133" s="54">
        <v>334.08</v>
      </c>
      <c r="J133" s="44">
        <f>INV.AGROQUIMICOS[[#This Row],[STOCK ACTUAL]]*INV.AGROQUIMICOS[[#This Row],[PRECIOS UNITARIOS EN BS]]</f>
        <v>16704</v>
      </c>
      <c r="K133" s="52"/>
    </row>
    <row r="134" spans="1:11" ht="15.75" x14ac:dyDescent="0.25">
      <c r="A134" s="13" t="s">
        <v>485</v>
      </c>
      <c r="B134" s="53" t="s">
        <v>497</v>
      </c>
      <c r="C134" s="18" t="s">
        <v>509</v>
      </c>
      <c r="D134" s="14" t="s">
        <v>150</v>
      </c>
      <c r="E134" s="15" t="s">
        <v>391</v>
      </c>
      <c r="F134" s="32">
        <f>SUMIF(ING.ABROQUIMICOS[CODIGO],A133:A221,ING.ABROQUIMICOS[CANTIDAD])</f>
        <v>380</v>
      </c>
      <c r="G134" s="31">
        <f>SUMIF(SAL.AGROQUIMICOS[CodigoProducto],A133:A221,SAL.AGROQUIMICOS[Dosis])</f>
        <v>0</v>
      </c>
      <c r="H134" s="33">
        <f>INV.AGROQUIMICOS[[#This Row],[ENTRADAS ]]-INV.AGROQUIMICOS[[#This Row],[SALIDAS]]</f>
        <v>380</v>
      </c>
      <c r="I134" s="54">
        <v>50.112000000000002</v>
      </c>
      <c r="J134" s="44">
        <f>INV.AGROQUIMICOS[[#This Row],[STOCK ACTUAL]]*INV.AGROQUIMICOS[[#This Row],[PRECIOS UNITARIOS EN BS]]</f>
        <v>19042.560000000001</v>
      </c>
      <c r="K134" s="52"/>
    </row>
    <row r="135" spans="1:11" ht="15.75" x14ac:dyDescent="0.25">
      <c r="A135" s="13" t="s">
        <v>486</v>
      </c>
      <c r="B135" s="53" t="s">
        <v>498</v>
      </c>
      <c r="C135" s="18" t="s">
        <v>256</v>
      </c>
      <c r="D135" s="14" t="s">
        <v>150</v>
      </c>
      <c r="E135" s="15" t="s">
        <v>514</v>
      </c>
      <c r="F135" s="32">
        <f>SUMIF(ING.ABROQUIMICOS[CODIGO],A134:A222,ING.ABROQUIMICOS[CANTIDAD])</f>
        <v>640</v>
      </c>
      <c r="G135" s="31">
        <f>SUMIF(SAL.AGROQUIMICOS[CodigoProducto],A134:A222,SAL.AGROQUIMICOS[Dosis])</f>
        <v>0</v>
      </c>
      <c r="H135" s="33">
        <f>INV.AGROQUIMICOS[[#This Row],[ENTRADAS ]]-INV.AGROQUIMICOS[[#This Row],[SALIDAS]]</f>
        <v>640</v>
      </c>
      <c r="I135" s="54">
        <v>61.247999999999998</v>
      </c>
      <c r="J135" s="44">
        <f>INV.AGROQUIMICOS[[#This Row],[STOCK ACTUAL]]*INV.AGROQUIMICOS[[#This Row],[PRECIOS UNITARIOS EN BS]]</f>
        <v>39198.720000000001</v>
      </c>
      <c r="K135" s="52"/>
    </row>
    <row r="136" spans="1:11" ht="15.75" x14ac:dyDescent="0.25">
      <c r="A136" s="13" t="s">
        <v>487</v>
      </c>
      <c r="B136" s="53" t="s">
        <v>499</v>
      </c>
      <c r="C136" s="18" t="s">
        <v>387</v>
      </c>
      <c r="D136" s="14" t="s">
        <v>150</v>
      </c>
      <c r="E136" s="15" t="s">
        <v>387</v>
      </c>
      <c r="F136" s="32">
        <f>SUMIF(ING.ABROQUIMICOS[CODIGO],A135:A223,ING.ABROQUIMICOS[CANTIDAD])</f>
        <v>550</v>
      </c>
      <c r="G136" s="31">
        <f>SUMIF(SAL.AGROQUIMICOS[CodigoProducto],A135:A223,SAL.AGROQUIMICOS[Dosis])</f>
        <v>0</v>
      </c>
      <c r="H136" s="33">
        <f>INV.AGROQUIMICOS[[#This Row],[ENTRADAS ]]-INV.AGROQUIMICOS[[#This Row],[SALIDAS]]</f>
        <v>550</v>
      </c>
      <c r="I136" s="54">
        <v>19.489999999999998</v>
      </c>
      <c r="J136" s="44">
        <f>INV.AGROQUIMICOS[[#This Row],[STOCK ACTUAL]]*INV.AGROQUIMICOS[[#This Row],[PRECIOS UNITARIOS EN BS]]</f>
        <v>10719.5</v>
      </c>
      <c r="K136" s="52"/>
    </row>
    <row r="137" spans="1:11" ht="15.75" x14ac:dyDescent="0.25">
      <c r="A137" s="13" t="s">
        <v>488</v>
      </c>
      <c r="B137" s="53" t="s">
        <v>500</v>
      </c>
      <c r="C137" s="18" t="s">
        <v>510</v>
      </c>
      <c r="D137" s="14" t="s">
        <v>150</v>
      </c>
      <c r="E137" s="15" t="s">
        <v>515</v>
      </c>
      <c r="F137" s="32">
        <f>SUMIF(ING.ABROQUIMICOS[CODIGO],A136:A224,ING.ABROQUIMICOS[CANTIDAD])</f>
        <v>285</v>
      </c>
      <c r="G137" s="31">
        <f>SUMIF(SAL.AGROQUIMICOS[CodigoProducto],A136:A224,SAL.AGROQUIMICOS[Dosis])</f>
        <v>0</v>
      </c>
      <c r="H137" s="33">
        <f>INV.AGROQUIMICOS[[#This Row],[ENTRADAS ]]-INV.AGROQUIMICOS[[#This Row],[SALIDAS]]</f>
        <v>285</v>
      </c>
      <c r="I137" s="54">
        <v>83.52</v>
      </c>
      <c r="J137" s="44">
        <f>INV.AGROQUIMICOS[[#This Row],[STOCK ACTUAL]]*INV.AGROQUIMICOS[[#This Row],[PRECIOS UNITARIOS EN BS]]</f>
        <v>23803.199999999997</v>
      </c>
      <c r="K137" s="52"/>
    </row>
    <row r="138" spans="1:11" ht="15.75" x14ac:dyDescent="0.25">
      <c r="A138" s="13" t="s">
        <v>489</v>
      </c>
      <c r="B138" s="53" t="s">
        <v>501</v>
      </c>
      <c r="C138" s="18" t="s">
        <v>511</v>
      </c>
      <c r="D138" s="14" t="s">
        <v>150</v>
      </c>
      <c r="E138" s="15" t="s">
        <v>514</v>
      </c>
      <c r="F138" s="32">
        <f>SUMIF(ING.ABROQUIMICOS[CODIGO],A132:A225,ING.ABROQUIMICOS[CANTIDAD])</f>
        <v>24</v>
      </c>
      <c r="G138" s="31">
        <f>SUMIF(SAL.AGROQUIMICOS[CodigoProducto],A132:A225,SAL.AGROQUIMICOS[Dosis])</f>
        <v>0</v>
      </c>
      <c r="H138" s="33">
        <f>INV.AGROQUIMICOS[[#This Row],[ENTRADAS ]]-INV.AGROQUIMICOS[[#This Row],[SALIDAS]]</f>
        <v>24</v>
      </c>
      <c r="I138" s="54">
        <v>494.16</v>
      </c>
      <c r="J138" s="44">
        <f>INV.AGROQUIMICOS[[#This Row],[STOCK ACTUAL]]*INV.AGROQUIMICOS[[#This Row],[PRECIOS UNITARIOS EN BS]]</f>
        <v>11859.84</v>
      </c>
      <c r="K138" s="52"/>
    </row>
    <row r="139" spans="1:11" ht="15.75" x14ac:dyDescent="0.25">
      <c r="A139" s="13" t="s">
        <v>490</v>
      </c>
      <c r="B139" s="53" t="s">
        <v>502</v>
      </c>
      <c r="C139" s="18" t="s">
        <v>512</v>
      </c>
      <c r="D139" s="14" t="s">
        <v>150</v>
      </c>
      <c r="E139" s="15" t="s">
        <v>514</v>
      </c>
      <c r="F139" s="32">
        <f>SUMIF(ING.ABROQUIMICOS[CODIGO],A138:A226,ING.ABROQUIMICOS[CANTIDAD])</f>
        <v>125</v>
      </c>
      <c r="G139" s="31">
        <f>SUMIF(SAL.AGROQUIMICOS[CodigoProducto],A138:A226,SAL.AGROQUIMICOS[Dosis])</f>
        <v>0</v>
      </c>
      <c r="H139" s="33">
        <f>INV.AGROQUIMICOS[[#This Row],[ENTRADAS ]]-INV.AGROQUIMICOS[[#This Row],[SALIDAS]]</f>
        <v>125</v>
      </c>
      <c r="I139" s="54">
        <v>277.70400000000001</v>
      </c>
      <c r="J139" s="44">
        <f>INV.AGROQUIMICOS[[#This Row],[STOCK ACTUAL]]*INV.AGROQUIMICOS[[#This Row],[PRECIOS UNITARIOS EN BS]]</f>
        <v>34713</v>
      </c>
      <c r="K139" s="52"/>
    </row>
    <row r="140" spans="1:11" ht="15.75" x14ac:dyDescent="0.25">
      <c r="A140" s="13" t="s">
        <v>491</v>
      </c>
      <c r="B140" s="53" t="s">
        <v>503</v>
      </c>
      <c r="C140" s="18"/>
      <c r="D140" s="14" t="s">
        <v>151</v>
      </c>
      <c r="E140" s="15" t="s">
        <v>514</v>
      </c>
      <c r="F140" s="32">
        <f>SUMIF(ING.ABROQUIMICOS[CODIGO],A139:A227,ING.ABROQUIMICOS[CANTIDAD])</f>
        <v>750</v>
      </c>
      <c r="G140" s="31">
        <f>SUMIF(SAL.AGROQUIMICOS[CodigoProducto],A139:A227,SAL.AGROQUIMICOS[Dosis])</f>
        <v>0</v>
      </c>
      <c r="H140" s="33">
        <f>INV.AGROQUIMICOS[[#This Row],[ENTRADAS ]]-INV.AGROQUIMICOS[[#This Row],[SALIDAS]]</f>
        <v>750</v>
      </c>
      <c r="I140" s="54">
        <v>77.256</v>
      </c>
      <c r="J140" s="44">
        <f>INV.AGROQUIMICOS[[#This Row],[STOCK ACTUAL]]*INV.AGROQUIMICOS[[#This Row],[PRECIOS UNITARIOS EN BS]]</f>
        <v>57942</v>
      </c>
      <c r="K140" s="52"/>
    </row>
    <row r="141" spans="1:11" ht="15.75" x14ac:dyDescent="0.25">
      <c r="A141" s="13" t="s">
        <v>492</v>
      </c>
      <c r="B141" s="53" t="s">
        <v>504</v>
      </c>
      <c r="C141" s="18" t="s">
        <v>201</v>
      </c>
      <c r="D141" s="14" t="s">
        <v>150</v>
      </c>
      <c r="E141" s="15" t="s">
        <v>201</v>
      </c>
      <c r="F141" s="32">
        <f>SUMIF(ING.ABROQUIMICOS[CODIGO],A140:A228,ING.ABROQUIMICOS[CANTIDAD])</f>
        <v>24</v>
      </c>
      <c r="G141" s="31">
        <f>SUMIF(SAL.AGROQUIMICOS[CodigoProducto],A140:A228,SAL.AGROQUIMICOS[Dosis])</f>
        <v>0</v>
      </c>
      <c r="H141" s="33">
        <f>INV.AGROQUIMICOS[[#This Row],[ENTRADAS ]]-INV.AGROQUIMICOS[[#This Row],[SALIDAS]]</f>
        <v>24</v>
      </c>
      <c r="I141" s="54">
        <v>118.32</v>
      </c>
      <c r="J141" s="44">
        <f>INV.AGROQUIMICOS[[#This Row],[STOCK ACTUAL]]*INV.AGROQUIMICOS[[#This Row],[PRECIOS UNITARIOS EN BS]]</f>
        <v>2839.68</v>
      </c>
      <c r="K141" s="52"/>
    </row>
    <row r="142" spans="1:11" ht="15.75" x14ac:dyDescent="0.25">
      <c r="A142" s="13" t="s">
        <v>493</v>
      </c>
      <c r="B142" s="53" t="s">
        <v>505</v>
      </c>
      <c r="C142" s="18" t="s">
        <v>201</v>
      </c>
      <c r="D142" s="14" t="s">
        <v>150</v>
      </c>
      <c r="E142" s="15" t="s">
        <v>201</v>
      </c>
      <c r="F142" s="32">
        <f>SUMIF(ING.ABROQUIMICOS[CODIGO],A132:A229,ING.ABROQUIMICOS[CANTIDAD])</f>
        <v>12</v>
      </c>
      <c r="G142" s="31">
        <f>SUMIF(SAL.AGROQUIMICOS[CodigoProducto],A132:A229,SAL.AGROQUIMICOS[Dosis])</f>
        <v>2.5000000000000001E-2</v>
      </c>
      <c r="H142" s="33">
        <f>INV.AGROQUIMICOS[[#This Row],[ENTRADAS ]]-INV.AGROQUIMICOS[[#This Row],[SALIDAS]]</f>
        <v>11.975</v>
      </c>
      <c r="I142" s="54">
        <v>83.52</v>
      </c>
      <c r="J142" s="44">
        <f>INV.AGROQUIMICOS[[#This Row],[STOCK ACTUAL]]*INV.AGROQUIMICOS[[#This Row],[PRECIOS UNITARIOS EN BS]]</f>
        <v>1000.1519999999999</v>
      </c>
      <c r="K142" s="52"/>
    </row>
    <row r="143" spans="1:11" ht="15.75" x14ac:dyDescent="0.25">
      <c r="A143" s="13" t="s">
        <v>494</v>
      </c>
      <c r="B143" s="53" t="s">
        <v>506</v>
      </c>
      <c r="C143" s="18" t="s">
        <v>224</v>
      </c>
      <c r="D143" s="14" t="s">
        <v>150</v>
      </c>
      <c r="E143" s="15" t="s">
        <v>391</v>
      </c>
      <c r="F143" s="32">
        <f>SUMIF(ING.ABROQUIMICOS[CODIGO],A142:A230,ING.ABROQUIMICOS[CANTIDAD])</f>
        <v>1900</v>
      </c>
      <c r="G143" s="31">
        <f>SUMIF(SAL.AGROQUIMICOS[CodigoProducto],A142:A230,SAL.AGROQUIMICOS[Dosis])</f>
        <v>2</v>
      </c>
      <c r="H143" s="33">
        <f>INV.AGROQUIMICOS[[#This Row],[ENTRADAS ]]-INV.AGROQUIMICOS[[#This Row],[SALIDAS]]</f>
        <v>1898</v>
      </c>
      <c r="I143" s="54">
        <v>27.84</v>
      </c>
      <c r="J143" s="44">
        <f>INV.AGROQUIMICOS[[#This Row],[STOCK ACTUAL]]*INV.AGROQUIMICOS[[#This Row],[PRECIOS UNITARIOS EN BS]]</f>
        <v>52840.32</v>
      </c>
      <c r="K143" s="52"/>
    </row>
    <row r="144" spans="1:11" ht="15.75" x14ac:dyDescent="0.25">
      <c r="A144" s="13" t="s">
        <v>495</v>
      </c>
      <c r="B144" s="53" t="s">
        <v>507</v>
      </c>
      <c r="C144" s="18" t="s">
        <v>513</v>
      </c>
      <c r="D144" s="14" t="s">
        <v>150</v>
      </c>
      <c r="E144" s="15" t="s">
        <v>391</v>
      </c>
      <c r="F144" s="32">
        <f>SUMIF(ING.ABROQUIMICOS[CODIGO],A132:A231,ING.ABROQUIMICOS[CANTIDAD])</f>
        <v>7.5</v>
      </c>
      <c r="G144" s="31">
        <f>SUMIF(SAL.AGROQUIMICOS[CodigoProducto],A132:A231,SAL.AGROQUIMICOS[Dosis])</f>
        <v>0</v>
      </c>
      <c r="H144" s="33">
        <f>INV.AGROQUIMICOS[[#This Row],[ENTRADAS ]]-INV.AGROQUIMICOS[[#This Row],[SALIDAS]]</f>
        <v>7.5</v>
      </c>
      <c r="I144" s="54">
        <v>4489.2</v>
      </c>
      <c r="J144" s="44">
        <f>INV.AGROQUIMICOS[[#This Row],[STOCK ACTUAL]]*INV.AGROQUIMICOS[[#This Row],[PRECIOS UNITARIOS EN BS]]</f>
        <v>33669</v>
      </c>
      <c r="K144" s="52"/>
    </row>
    <row r="145" spans="1:11" ht="15.75" x14ac:dyDescent="0.25">
      <c r="A145" s="13" t="s">
        <v>519</v>
      </c>
      <c r="B145" s="14" t="s">
        <v>524</v>
      </c>
      <c r="C145" s="18" t="s">
        <v>528</v>
      </c>
      <c r="D145" s="14" t="s">
        <v>150</v>
      </c>
      <c r="E145" s="15" t="s">
        <v>201</v>
      </c>
      <c r="F145" s="32">
        <f>SUMIF(ING.ABROQUIMICOS[CODIGO],A144:A227,ING.ABROQUIMICOS[CANTIDAD])</f>
        <v>100</v>
      </c>
      <c r="G145" s="31">
        <f>SUMIF(SAL.AGROQUIMICOS[CodigoProducto],A144:A227,SAL.AGROQUIMICOS[Dosis])</f>
        <v>0</v>
      </c>
      <c r="H145" s="33">
        <f>INV.AGROQUIMICOS[[#This Row],[ENTRADAS ]]-INV.AGROQUIMICOS[[#This Row],[SALIDAS]]</f>
        <v>100</v>
      </c>
      <c r="I145" s="60">
        <v>52.2</v>
      </c>
      <c r="J145" s="44">
        <f>INV.AGROQUIMICOS[[#This Row],[STOCK ACTUAL]]*INV.AGROQUIMICOS[[#This Row],[PRECIOS UNITARIOS EN BS]]</f>
        <v>5220</v>
      </c>
      <c r="K145" s="52"/>
    </row>
    <row r="146" spans="1:11" ht="15.75" x14ac:dyDescent="0.25">
      <c r="A146" s="13" t="s">
        <v>520</v>
      </c>
      <c r="B146" s="14" t="s">
        <v>525</v>
      </c>
      <c r="C146" s="18" t="s">
        <v>529</v>
      </c>
      <c r="D146" s="14" t="s">
        <v>151</v>
      </c>
      <c r="E146" s="15" t="s">
        <v>532</v>
      </c>
      <c r="F146" s="32">
        <f>SUMIF(ING.ABROQUIMICOS[CODIGO],A145:A228,ING.ABROQUIMICOS[CANTIDAD])</f>
        <v>8</v>
      </c>
      <c r="G146" s="31">
        <f>SUMIF(SAL.AGROQUIMICOS[CodigoProducto],A145:A228,SAL.AGROQUIMICOS[Dosis])</f>
        <v>0</v>
      </c>
      <c r="H146" s="33">
        <f>INV.AGROQUIMICOS[[#This Row],[ENTRADAS ]]-INV.AGROQUIMICOS[[#This Row],[SALIDAS]]</f>
        <v>8</v>
      </c>
      <c r="I146" s="55">
        <v>222.72</v>
      </c>
      <c r="J146" s="44">
        <f>INV.AGROQUIMICOS[[#This Row],[STOCK ACTUAL]]*INV.AGROQUIMICOS[[#This Row],[PRECIOS UNITARIOS EN BS]]</f>
        <v>1781.76</v>
      </c>
      <c r="K146" s="52"/>
    </row>
    <row r="147" spans="1:11" ht="15.75" x14ac:dyDescent="0.25">
      <c r="A147" s="13" t="s">
        <v>521</v>
      </c>
      <c r="B147" s="14" t="s">
        <v>526</v>
      </c>
      <c r="C147" s="18" t="s">
        <v>530</v>
      </c>
      <c r="D147" s="14" t="s">
        <v>151</v>
      </c>
      <c r="E147" s="15" t="s">
        <v>532</v>
      </c>
      <c r="F147" s="32">
        <f>SUMIF(ING.ABROQUIMICOS[CODIGO],A144:A229,ING.ABROQUIMICOS[CANTIDAD])</f>
        <v>8</v>
      </c>
      <c r="G147" s="31">
        <f>SUMIF(SAL.AGROQUIMICOS[CodigoProducto],A144:A229,SAL.AGROQUIMICOS[Dosis])</f>
        <v>0</v>
      </c>
      <c r="H147" s="33">
        <f>INV.AGROQUIMICOS[[#This Row],[ENTRADAS ]]-INV.AGROQUIMICOS[[#This Row],[SALIDAS]]</f>
        <v>8</v>
      </c>
      <c r="I147" s="55">
        <v>167.04</v>
      </c>
      <c r="J147" s="44">
        <f>INV.AGROQUIMICOS[[#This Row],[STOCK ACTUAL]]*INV.AGROQUIMICOS[[#This Row],[PRECIOS UNITARIOS EN BS]]</f>
        <v>1336.32</v>
      </c>
      <c r="K147" s="52"/>
    </row>
    <row r="148" spans="1:11" ht="15.75" x14ac:dyDescent="0.25">
      <c r="A148" s="13" t="s">
        <v>522</v>
      </c>
      <c r="B148" s="14" t="s">
        <v>131</v>
      </c>
      <c r="C148" s="18"/>
      <c r="D148" s="14" t="s">
        <v>150</v>
      </c>
      <c r="E148" s="15" t="s">
        <v>514</v>
      </c>
      <c r="F148" s="32">
        <f>SUMIF(ING.ABROQUIMICOS[CODIGO],A147:A230,ING.ABROQUIMICOS[CANTIDAD])</f>
        <v>50</v>
      </c>
      <c r="G148" s="31">
        <f>SUMIF(SAL.AGROQUIMICOS[CodigoProducto],A147:A230,SAL.AGROQUIMICOS[Dosis])</f>
        <v>0</v>
      </c>
      <c r="H148" s="33">
        <f>INV.AGROQUIMICOS[[#This Row],[ENTRADAS ]]-INV.AGROQUIMICOS[[#This Row],[SALIDAS]]</f>
        <v>50</v>
      </c>
      <c r="I148" s="21">
        <v>924.28800000000001</v>
      </c>
      <c r="J148" s="44">
        <f>INV.AGROQUIMICOS[[#This Row],[STOCK ACTUAL]]*INV.AGROQUIMICOS[[#This Row],[PRECIOS UNITARIOS EN BS]]</f>
        <v>46214.400000000001</v>
      </c>
      <c r="K148" s="52"/>
    </row>
    <row r="149" spans="1:11" ht="15.75" x14ac:dyDescent="0.25">
      <c r="A149" s="13" t="s">
        <v>523</v>
      </c>
      <c r="B149" s="14" t="s">
        <v>527</v>
      </c>
      <c r="C149" s="18" t="s">
        <v>531</v>
      </c>
      <c r="D149" s="14" t="s">
        <v>150</v>
      </c>
      <c r="E149" s="15" t="s">
        <v>391</v>
      </c>
      <c r="F149" s="32">
        <f>SUMIF(ING.ABROQUIMICOS[CODIGO],A144:A231,ING.ABROQUIMICOS[CANTIDAD])</f>
        <v>680</v>
      </c>
      <c r="G149" s="31">
        <f>SUMIF(SAL.AGROQUIMICOS[CodigoProducto],A144:A231,SAL.AGROQUIMICOS[Dosis])</f>
        <v>0</v>
      </c>
      <c r="H149" s="33">
        <f>INV.AGROQUIMICOS[[#This Row],[ENTRADAS ]]-INV.AGROQUIMICOS[[#This Row],[SALIDAS]]</f>
        <v>680</v>
      </c>
      <c r="I149" s="55">
        <v>33.756</v>
      </c>
      <c r="J149" s="44">
        <f>INV.AGROQUIMICOS[[#This Row],[STOCK ACTUAL]]*INV.AGROQUIMICOS[[#This Row],[PRECIOS UNITARIOS EN BS]]</f>
        <v>22954.080000000002</v>
      </c>
      <c r="K149" s="52"/>
    </row>
    <row r="150" spans="1:11" ht="15.75" x14ac:dyDescent="0.25">
      <c r="A150" s="13" t="s">
        <v>534</v>
      </c>
      <c r="B150" s="14" t="s">
        <v>535</v>
      </c>
      <c r="C150" s="18" t="s">
        <v>311</v>
      </c>
      <c r="D150" s="14" t="s">
        <v>150</v>
      </c>
      <c r="E150" s="15" t="s">
        <v>152</v>
      </c>
      <c r="F150" s="32">
        <f>SUMIF(ING.ABROQUIMICOS[CODIGO],A149:A232,ING.ABROQUIMICOS[CANTIDAD])</f>
        <v>60</v>
      </c>
      <c r="G150" s="31">
        <f>SUMIF(SAL.AGROQUIMICOS[CodigoProducto],A149:A232,SAL.AGROQUIMICOS[Dosis])</f>
        <v>0</v>
      </c>
      <c r="H150" s="33">
        <f>INV.AGROQUIMICOS[[#This Row],[ENTRADAS ]]-INV.AGROQUIMICOS[[#This Row],[SALIDAS]]</f>
        <v>60</v>
      </c>
      <c r="I150" s="54">
        <v>125.28</v>
      </c>
      <c r="J150" s="44">
        <f>INV.AGROQUIMICOS[[#This Row],[STOCK ACTUAL]]*INV.AGROQUIMICOS[[#This Row],[PRECIOS UNITARIOS EN BS]]</f>
        <v>7516.8</v>
      </c>
      <c r="K150" s="52"/>
    </row>
    <row r="151" spans="1:11" ht="15.75" x14ac:dyDescent="0.25">
      <c r="A151" s="13" t="s">
        <v>536</v>
      </c>
      <c r="B151" s="53" t="s">
        <v>538</v>
      </c>
      <c r="C151" t="s">
        <v>223</v>
      </c>
      <c r="D151" t="s">
        <v>388</v>
      </c>
      <c r="E151" t="s">
        <v>391</v>
      </c>
      <c r="F151" s="32">
        <f>SUMIF(ING.ABROQUIMICOS[CODIGO],A150:A231,ING.ABROQUIMICOS[CANTIDAD])</f>
        <v>250</v>
      </c>
      <c r="G151" s="31">
        <f>SUMIF(SAL.AGROQUIMICOS[CodigoProducto],A150:A231,SAL.AGROQUIMICOS[Dosis])</f>
        <v>0</v>
      </c>
      <c r="H151" s="33">
        <f>INV.AGROQUIMICOS[[#This Row],[ENTRADAS ]]-INV.AGROQUIMICOS[[#This Row],[SALIDAS]]</f>
        <v>250</v>
      </c>
      <c r="I151" s="54">
        <v>125.28</v>
      </c>
      <c r="J151" s="44">
        <f>INV.AGROQUIMICOS[[#This Row],[STOCK ACTUAL]]*INV.AGROQUIMICOS[[#This Row],[PRECIOS UNITARIOS EN BS]]</f>
        <v>31320</v>
      </c>
      <c r="K151" s="52"/>
    </row>
    <row r="152" spans="1:11" ht="15.75" x14ac:dyDescent="0.25">
      <c r="A152" s="13" t="s">
        <v>537</v>
      </c>
      <c r="B152" s="53" t="s">
        <v>539</v>
      </c>
      <c r="C152" t="s">
        <v>540</v>
      </c>
      <c r="D152" t="s">
        <v>388</v>
      </c>
      <c r="E152" t="s">
        <v>387</v>
      </c>
      <c r="F152" s="32">
        <f>SUMIF(ING.ABROQUIMICOS[CODIGO],A150:A232,ING.ABROQUIMICOS[CANTIDAD])</f>
        <v>80</v>
      </c>
      <c r="G152" s="31">
        <f>SUMIF(SAL.AGROQUIMICOS[CodigoProducto],A150:A232,SAL.AGROQUIMICOS[Dosis])</f>
        <v>0</v>
      </c>
      <c r="H152" s="33">
        <f>INV.AGROQUIMICOS[[#This Row],[ENTRADAS ]]-INV.AGROQUIMICOS[[#This Row],[SALIDAS]]</f>
        <v>80</v>
      </c>
      <c r="I152" s="54">
        <v>153.12</v>
      </c>
      <c r="J152" s="44">
        <f>INV.AGROQUIMICOS[[#This Row],[STOCK ACTUAL]]*INV.AGROQUIMICOS[[#This Row],[PRECIOS UNITARIOS EN BS]]</f>
        <v>12249.6</v>
      </c>
      <c r="K152" s="52"/>
    </row>
    <row r="153" spans="1:11" ht="15.75" x14ac:dyDescent="0.25">
      <c r="A153" s="13" t="s">
        <v>542</v>
      </c>
      <c r="B153" s="53" t="s">
        <v>550</v>
      </c>
      <c r="C153" t="s">
        <v>250</v>
      </c>
      <c r="D153" t="s">
        <v>388</v>
      </c>
      <c r="E153" t="s">
        <v>391</v>
      </c>
      <c r="F153" s="32">
        <f>SUMIF(ING.ABROQUIMICOS[CODIGO],A152:A225,ING.ABROQUIMICOS[CANTIDAD])</f>
        <v>20</v>
      </c>
      <c r="G153" s="31">
        <f>SUMIF(SAL.AGROQUIMICOS[CodigoProducto],A152:A225,SAL.AGROQUIMICOS[Dosis])</f>
        <v>0</v>
      </c>
      <c r="H153" s="33">
        <f>INV.AGROQUIMICOS[[#This Row],[ENTRADAS ]]-INV.AGROQUIMICOS[[#This Row],[SALIDAS]]</f>
        <v>20</v>
      </c>
      <c r="I153" s="54">
        <v>76.56</v>
      </c>
      <c r="J153" s="44">
        <f>INV.AGROQUIMICOS[[#This Row],[STOCK ACTUAL]]*INV.AGROQUIMICOS[[#This Row],[PRECIOS UNITARIOS EN BS]]</f>
        <v>1531.2</v>
      </c>
      <c r="K153" s="52"/>
    </row>
    <row r="154" spans="1:11" ht="15.75" x14ac:dyDescent="0.25">
      <c r="A154" s="13" t="s">
        <v>543</v>
      </c>
      <c r="B154" s="53" t="s">
        <v>551</v>
      </c>
      <c r="C154" t="s">
        <v>558</v>
      </c>
      <c r="D154" t="s">
        <v>388</v>
      </c>
      <c r="E154" t="s">
        <v>514</v>
      </c>
      <c r="F154" s="32">
        <f>SUMIF(ING.ABROQUIMICOS[CODIGO],A153:A226,ING.ABROQUIMICOS[CANTIDAD])</f>
        <v>130</v>
      </c>
      <c r="G154" s="31">
        <f>SUMIF(SAL.AGROQUIMICOS[CodigoProducto],A153:A226,SAL.AGROQUIMICOS[Dosis])</f>
        <v>0</v>
      </c>
      <c r="H154" s="33">
        <f>INV.AGROQUIMICOS[[#This Row],[ENTRADAS ]]-INV.AGROQUIMICOS[[#This Row],[SALIDAS]]</f>
        <v>130</v>
      </c>
      <c r="I154" s="54">
        <v>169.12799999999999</v>
      </c>
      <c r="J154" s="44">
        <f>INV.AGROQUIMICOS[[#This Row],[STOCK ACTUAL]]*INV.AGROQUIMICOS[[#This Row],[PRECIOS UNITARIOS EN BS]]</f>
        <v>21986.639999999999</v>
      </c>
      <c r="K154" s="52"/>
    </row>
    <row r="155" spans="1:11" ht="15.75" x14ac:dyDescent="0.25">
      <c r="A155" s="13" t="s">
        <v>544</v>
      </c>
      <c r="B155" s="53" t="s">
        <v>552</v>
      </c>
      <c r="C155" t="s">
        <v>509</v>
      </c>
      <c r="D155" t="s">
        <v>389</v>
      </c>
      <c r="E155" t="s">
        <v>391</v>
      </c>
      <c r="F155" s="32">
        <f>SUMIF(ING.ABROQUIMICOS[CODIGO],A152:A227,ING.ABROQUIMICOS[CANTIDAD])</f>
        <v>195</v>
      </c>
      <c r="G155" s="31">
        <f>SUMIF(SAL.AGROQUIMICOS[CodigoProducto],A152:A227,SAL.AGROQUIMICOS[Dosis])</f>
        <v>0</v>
      </c>
      <c r="H155" s="33">
        <f>INV.AGROQUIMICOS[[#This Row],[ENTRADAS ]]-INV.AGROQUIMICOS[[#This Row],[SALIDAS]]</f>
        <v>195</v>
      </c>
      <c r="I155" s="54">
        <v>123.88</v>
      </c>
      <c r="J155" s="44">
        <f>INV.AGROQUIMICOS[[#This Row],[STOCK ACTUAL]]*INV.AGROQUIMICOS[[#This Row],[PRECIOS UNITARIOS EN BS]]</f>
        <v>24156.6</v>
      </c>
      <c r="K155" s="52"/>
    </row>
    <row r="156" spans="1:11" ht="15.75" x14ac:dyDescent="0.25">
      <c r="A156" s="13" t="s">
        <v>545</v>
      </c>
      <c r="B156" s="53" t="s">
        <v>553</v>
      </c>
      <c r="C156" t="s">
        <v>559</v>
      </c>
      <c r="D156" t="s">
        <v>388</v>
      </c>
      <c r="E156" t="s">
        <v>391</v>
      </c>
      <c r="F156" s="32">
        <f>SUMIF(ING.ABROQUIMICOS[CODIGO],A155:A228,ING.ABROQUIMICOS[CANTIDAD])</f>
        <v>640</v>
      </c>
      <c r="G156" s="31">
        <f>SUMIF(SAL.AGROQUIMICOS[CodigoProducto],A155:A228,SAL.AGROQUIMICOS[Dosis])</f>
        <v>0</v>
      </c>
      <c r="H156" s="33">
        <f>INV.AGROQUIMICOS[[#This Row],[ENTRADAS ]]-INV.AGROQUIMICOS[[#This Row],[SALIDAS]]</f>
        <v>640</v>
      </c>
      <c r="I156" s="54">
        <v>133.05799999999999</v>
      </c>
      <c r="J156" s="44">
        <f>INV.AGROQUIMICOS[[#This Row],[STOCK ACTUAL]]*INV.AGROQUIMICOS[[#This Row],[PRECIOS UNITARIOS EN BS]]</f>
        <v>85157.119999999995</v>
      </c>
      <c r="K156" s="52"/>
    </row>
    <row r="157" spans="1:11" ht="15.75" x14ac:dyDescent="0.25">
      <c r="A157" s="13" t="s">
        <v>546</v>
      </c>
      <c r="B157" s="53" t="s">
        <v>554</v>
      </c>
      <c r="C157" t="s">
        <v>221</v>
      </c>
      <c r="D157" t="s">
        <v>388</v>
      </c>
      <c r="E157" t="s">
        <v>391</v>
      </c>
      <c r="F157" s="32">
        <f>SUMIF(ING.ABROQUIMICOS[CODIGO],A152:A229,ING.ABROQUIMICOS[CANTIDAD])</f>
        <v>100</v>
      </c>
      <c r="G157" s="31">
        <f>SUMIF(SAL.AGROQUIMICOS[CodigoProducto],A152:A229,SAL.AGROQUIMICOS[Dosis])</f>
        <v>0</v>
      </c>
      <c r="H157" s="33">
        <f>INV.AGROQUIMICOS[[#This Row],[ENTRADAS ]]-INV.AGROQUIMICOS[[#This Row],[SALIDAS]]</f>
        <v>100</v>
      </c>
      <c r="I157" s="54">
        <v>132.24</v>
      </c>
      <c r="J157" s="44">
        <f>INV.AGROQUIMICOS[[#This Row],[STOCK ACTUAL]]*INV.AGROQUIMICOS[[#This Row],[PRECIOS UNITARIOS EN BS]]</f>
        <v>13224</v>
      </c>
      <c r="K157" s="52"/>
    </row>
    <row r="158" spans="1:11" ht="15.75" x14ac:dyDescent="0.25">
      <c r="A158" s="13" t="s">
        <v>547</v>
      </c>
      <c r="B158" s="53" t="s">
        <v>555</v>
      </c>
      <c r="C158" t="s">
        <v>560</v>
      </c>
      <c r="D158" t="s">
        <v>388</v>
      </c>
      <c r="E158" t="s">
        <v>387</v>
      </c>
      <c r="F158" s="32">
        <f>SUMIF(ING.ABROQUIMICOS[CODIGO],A157:A230,ING.ABROQUIMICOS[CANTIDAD])</f>
        <v>150</v>
      </c>
      <c r="G158" s="31">
        <f>SUMIF(SAL.AGROQUIMICOS[CodigoProducto],A157:A230,SAL.AGROQUIMICOS[Dosis])</f>
        <v>0</v>
      </c>
      <c r="H158" s="33">
        <f>INV.AGROQUIMICOS[[#This Row],[ENTRADAS ]]-INV.AGROQUIMICOS[[#This Row],[SALIDAS]]</f>
        <v>150</v>
      </c>
      <c r="I158" s="54">
        <v>278.39999999999998</v>
      </c>
      <c r="J158" s="44">
        <f>INV.AGROQUIMICOS[[#This Row],[STOCK ACTUAL]]*INV.AGROQUIMICOS[[#This Row],[PRECIOS UNITARIOS EN BS]]</f>
        <v>41760</v>
      </c>
      <c r="K158" s="52"/>
    </row>
    <row r="159" spans="1:11" ht="15.75" x14ac:dyDescent="0.25">
      <c r="A159" s="13" t="s">
        <v>548</v>
      </c>
      <c r="B159" s="53" t="s">
        <v>556</v>
      </c>
      <c r="C159" t="s">
        <v>201</v>
      </c>
      <c r="D159" t="s">
        <v>388</v>
      </c>
      <c r="E159" t="s">
        <v>201</v>
      </c>
      <c r="F159" s="32">
        <f>SUMIF(ING.ABROQUIMICOS[CODIGO],A152:A231,ING.ABROQUIMICOS[CANTIDAD])</f>
        <v>3</v>
      </c>
      <c r="G159" s="31">
        <f>SUMIF(SAL.AGROQUIMICOS[CodigoProducto],A152:A231,SAL.AGROQUIMICOS[Dosis])</f>
        <v>0</v>
      </c>
      <c r="H159" s="33">
        <f>INV.AGROQUIMICOS[[#This Row],[ENTRADAS ]]-INV.AGROQUIMICOS[[#This Row],[SALIDAS]]</f>
        <v>3</v>
      </c>
      <c r="I159" s="54">
        <v>278.39999999999998</v>
      </c>
      <c r="J159" s="44">
        <f>INV.AGROQUIMICOS[[#This Row],[STOCK ACTUAL]]*INV.AGROQUIMICOS[[#This Row],[PRECIOS UNITARIOS EN BS]]</f>
        <v>835.19999999999993</v>
      </c>
      <c r="K159" s="52"/>
    </row>
    <row r="160" spans="1:11" ht="15.75" x14ac:dyDescent="0.25">
      <c r="A160" s="13" t="s">
        <v>549</v>
      </c>
      <c r="B160" s="53" t="s">
        <v>557</v>
      </c>
      <c r="C160" t="s">
        <v>561</v>
      </c>
      <c r="D160" t="s">
        <v>389</v>
      </c>
      <c r="E160" t="s">
        <v>514</v>
      </c>
      <c r="F160" s="32">
        <f>SUMIF(ING.ABROQUIMICOS[CODIGO],A152:A232,ING.ABROQUIMICOS[CANTIDAD])</f>
        <v>32</v>
      </c>
      <c r="G160" s="31">
        <f>SUMIF(SAL.AGROQUIMICOS[CodigoProducto],A152:A232,SAL.AGROQUIMICOS[Dosis])</f>
        <v>0</v>
      </c>
      <c r="H160" s="33">
        <f>INV.AGROQUIMICOS[[#This Row],[ENTRADAS ]]-INV.AGROQUIMICOS[[#This Row],[SALIDAS]]</f>
        <v>32</v>
      </c>
      <c r="I160" s="54">
        <v>800.4</v>
      </c>
      <c r="J160" s="44">
        <f>INV.AGROQUIMICOS[[#This Row],[STOCK ACTUAL]]*INV.AGROQUIMICOS[[#This Row],[PRECIOS UNITARIOS EN BS]]</f>
        <v>25612.799999999999</v>
      </c>
      <c r="K160" s="52"/>
    </row>
    <row r="161" spans="1:11" ht="15.75" x14ac:dyDescent="0.25">
      <c r="A161" s="53" t="s">
        <v>564</v>
      </c>
      <c r="B161" s="14" t="s">
        <v>565</v>
      </c>
      <c r="C161" t="s">
        <v>566</v>
      </c>
      <c r="D161" s="14" t="s">
        <v>151</v>
      </c>
      <c r="E161" s="15" t="s">
        <v>152</v>
      </c>
      <c r="F161" s="32">
        <f>SUMIF(ING.ABROQUIMICOS[CODIGO],A160:A232,ING.ABROQUIMICOS[CANTIDAD])</f>
        <v>45</v>
      </c>
      <c r="G161" s="31">
        <f>SUMIF(SAL.AGROQUIMICOS[CodigoProducto],A160:A232,SAL.AGROQUIMICOS[Dosis])</f>
        <v>0</v>
      </c>
      <c r="H161" s="33">
        <f>INV.AGROQUIMICOS[[#This Row],[ENTRADAS ]]-INV.AGROQUIMICOS[[#This Row],[SALIDAS]]</f>
        <v>45</v>
      </c>
      <c r="I161" s="54">
        <v>187.92</v>
      </c>
      <c r="J161" s="44">
        <f>INV.AGROQUIMICOS[[#This Row],[STOCK ACTUAL]]*INV.AGROQUIMICOS[[#This Row],[PRECIOS UNITARIOS EN BS]]</f>
        <v>8456.4</v>
      </c>
      <c r="K161" s="52"/>
    </row>
    <row r="162" spans="1:11" ht="15.75" x14ac:dyDescent="0.25">
      <c r="A162" s="13" t="s">
        <v>570</v>
      </c>
      <c r="B162" s="14" t="s">
        <v>579</v>
      </c>
      <c r="C162" s="18" t="s">
        <v>571</v>
      </c>
      <c r="D162" s="14" t="s">
        <v>151</v>
      </c>
      <c r="E162" s="15" t="s">
        <v>571</v>
      </c>
      <c r="F162" s="32">
        <f>SUMIF(ING.ABROQUIMICOS[CODIGO],A161:A230,ING.ABROQUIMICOS[CANTIDAD])</f>
        <v>20</v>
      </c>
      <c r="G162" s="31">
        <f>SUMIF(SAL.AGROQUIMICOS[CodigoProducto],A161:A230,SAL.AGROQUIMICOS[Dosis])</f>
        <v>0</v>
      </c>
      <c r="H162" s="33">
        <f>INV.AGROQUIMICOS[[#This Row],[ENTRADAS ]]-INV.AGROQUIMICOS[[#This Row],[SALIDAS]]</f>
        <v>20</v>
      </c>
      <c r="I162" s="54">
        <v>114.84</v>
      </c>
      <c r="J162" s="44">
        <f>INV.AGROQUIMICOS[[#This Row],[STOCK ACTUAL]]*INV.AGROQUIMICOS[[#This Row],[PRECIOS UNITARIOS EN BS]]</f>
        <v>2296.8000000000002</v>
      </c>
      <c r="K162" s="52"/>
    </row>
    <row r="163" spans="1:11" ht="15.75" x14ac:dyDescent="0.25">
      <c r="A163" s="13" t="s">
        <v>569</v>
      </c>
      <c r="B163" s="14" t="s">
        <v>572</v>
      </c>
      <c r="C163" s="18" t="s">
        <v>573</v>
      </c>
      <c r="D163" s="14" t="s">
        <v>151</v>
      </c>
      <c r="E163" s="15" t="s">
        <v>6</v>
      </c>
      <c r="F163" s="32">
        <f>SUMIF(ING.ABROQUIMICOS[CODIGO],A161:A231,ING.ABROQUIMICOS[CANTIDAD])</f>
        <v>250</v>
      </c>
      <c r="G163" s="31">
        <f>SUMIF(SAL.AGROQUIMICOS[CodigoProducto],A161:A231,SAL.AGROQUIMICOS[Dosis])</f>
        <v>0</v>
      </c>
      <c r="H163" s="33">
        <f>INV.AGROQUIMICOS[[#This Row],[ENTRADAS ]]-INV.AGROQUIMICOS[[#This Row],[SALIDAS]]</f>
        <v>250</v>
      </c>
      <c r="I163" s="54">
        <v>109.968</v>
      </c>
      <c r="J163" s="44">
        <f>INV.AGROQUIMICOS[[#This Row],[STOCK ACTUAL]]*INV.AGROQUIMICOS[[#This Row],[PRECIOS UNITARIOS EN BS]]</f>
        <v>27492</v>
      </c>
      <c r="K163" s="52"/>
    </row>
    <row r="164" spans="1:11" ht="15.75" x14ac:dyDescent="0.25">
      <c r="A164" s="13" t="s">
        <v>568</v>
      </c>
      <c r="B164" s="14" t="s">
        <v>575</v>
      </c>
      <c r="C164" s="18" t="s">
        <v>576</v>
      </c>
      <c r="D164" s="14" t="s">
        <v>151</v>
      </c>
      <c r="E164" s="15" t="s">
        <v>6</v>
      </c>
      <c r="F164" s="32">
        <f>SUMIF(ING.ABROQUIMICOS[CODIGO],A163:A231,ING.ABROQUIMICOS[CANTIDAD])</f>
        <v>19</v>
      </c>
      <c r="G164" s="31">
        <f>SUMIF(SAL.AGROQUIMICOS[CodigoProducto],A163:A231,SAL.AGROQUIMICOS[Dosis])</f>
        <v>0</v>
      </c>
      <c r="H164" s="33">
        <f>INV.AGROQUIMICOS[[#This Row],[ENTRADAS ]]-INV.AGROQUIMICOS[[#This Row],[SALIDAS]]</f>
        <v>19</v>
      </c>
      <c r="I164" s="54">
        <v>626.4</v>
      </c>
      <c r="J164" s="44">
        <f>INV.AGROQUIMICOS[[#This Row],[STOCK ACTUAL]]*INV.AGROQUIMICOS[[#This Row],[PRECIOS UNITARIOS EN BS]]</f>
        <v>11901.6</v>
      </c>
      <c r="K164" s="52"/>
    </row>
    <row r="165" spans="1:11" ht="15.75" x14ac:dyDescent="0.25">
      <c r="A165" s="13" t="s">
        <v>574</v>
      </c>
      <c r="B165" s="14" t="s">
        <v>577</v>
      </c>
      <c r="C165" s="18" t="s">
        <v>578</v>
      </c>
      <c r="D165" s="14" t="s">
        <v>150</v>
      </c>
      <c r="E165" s="15" t="s">
        <v>9</v>
      </c>
      <c r="F165" s="32">
        <f>SUMIF(ING.ABROQUIMICOS[CODIGO],A161:A232,ING.ABROQUIMICOS[CANTIDAD])</f>
        <v>100</v>
      </c>
      <c r="G165" s="31">
        <f>SUMIF(SAL.AGROQUIMICOS[CodigoProducto],A161:A232,SAL.AGROQUIMICOS[Dosis])</f>
        <v>0</v>
      </c>
      <c r="H165" s="33">
        <f>INV.AGROQUIMICOS[[#This Row],[ENTRADAS ]]-INV.AGROQUIMICOS[[#This Row],[SALIDAS]]</f>
        <v>100</v>
      </c>
      <c r="I165" s="54">
        <v>153.12</v>
      </c>
      <c r="J165" s="44">
        <f>INV.AGROQUIMICOS[[#This Row],[STOCK ACTUAL]]*INV.AGROQUIMICOS[[#This Row],[PRECIOS UNITARIOS EN BS]]</f>
        <v>15312</v>
      </c>
      <c r="K165" s="52"/>
    </row>
    <row r="166" spans="1:11" ht="15.75" x14ac:dyDescent="0.25">
      <c r="A166" s="13" t="s">
        <v>580</v>
      </c>
      <c r="B166" t="s">
        <v>583</v>
      </c>
      <c r="C166" t="s">
        <v>586</v>
      </c>
      <c r="D166" t="s">
        <v>388</v>
      </c>
      <c r="E166" t="s">
        <v>587</v>
      </c>
      <c r="F166" s="32">
        <f>SUMIF(ING.ABROQUIMICOS[CODIGO],A165:A230,ING.ABROQUIMICOS[CANTIDAD])</f>
        <v>115</v>
      </c>
      <c r="G166" s="31">
        <f>SUMIF(SAL.AGROQUIMICOS[CodigoProducto],A165:A230,SAL.AGROQUIMICOS[Dosis])</f>
        <v>0</v>
      </c>
      <c r="H166" s="33">
        <f>INV.AGROQUIMICOS[[#This Row],[ENTRADAS ]]-INV.AGROQUIMICOS[[#This Row],[SALIDAS]]</f>
        <v>115</v>
      </c>
      <c r="I166" s="54">
        <v>219.24</v>
      </c>
      <c r="J166" s="44">
        <f>INV.AGROQUIMICOS[[#This Row],[STOCK ACTUAL]]*INV.AGROQUIMICOS[[#This Row],[PRECIOS UNITARIOS EN BS]]</f>
        <v>25212.600000000002</v>
      </c>
      <c r="K166" s="52"/>
    </row>
    <row r="167" spans="1:11" ht="15.75" x14ac:dyDescent="0.25">
      <c r="A167" s="13" t="s">
        <v>581</v>
      </c>
      <c r="B167" t="s">
        <v>584</v>
      </c>
      <c r="C167" t="s">
        <v>588</v>
      </c>
      <c r="D167" t="s">
        <v>388</v>
      </c>
      <c r="E167" t="s">
        <v>514</v>
      </c>
      <c r="F167" s="32">
        <f>SUMIF(ING.ABROQUIMICOS[CODIGO],A165:A231,ING.ABROQUIMICOS[CANTIDAD])</f>
        <v>100</v>
      </c>
      <c r="G167" s="31">
        <f>SUMIF(SAL.AGROQUIMICOS[CodigoProducto],A165:A231,SAL.AGROQUIMICOS[Dosis])</f>
        <v>0</v>
      </c>
      <c r="H167" s="33">
        <f>INV.AGROQUIMICOS[[#This Row],[ENTRADAS ]]-INV.AGROQUIMICOS[[#This Row],[SALIDAS]]</f>
        <v>100</v>
      </c>
      <c r="I167" s="54">
        <v>90.48</v>
      </c>
      <c r="J167" s="44">
        <f>INV.AGROQUIMICOS[[#This Row],[STOCK ACTUAL]]*INV.AGROQUIMICOS[[#This Row],[PRECIOS UNITARIOS EN BS]]</f>
        <v>9048</v>
      </c>
      <c r="K167" s="52"/>
    </row>
    <row r="168" spans="1:11" ht="15.75" x14ac:dyDescent="0.25">
      <c r="A168" s="13" t="s">
        <v>582</v>
      </c>
      <c r="B168" t="s">
        <v>585</v>
      </c>
      <c r="C168" t="s">
        <v>589</v>
      </c>
      <c r="D168" t="s">
        <v>388</v>
      </c>
      <c r="E168" t="s">
        <v>391</v>
      </c>
      <c r="F168" s="32">
        <f>SUMIF(ING.ABROQUIMICOS[CODIGO],A165:A232,ING.ABROQUIMICOS[CANTIDAD])</f>
        <v>100</v>
      </c>
      <c r="G168" s="31">
        <f>SUMIF(SAL.AGROQUIMICOS[CodigoProducto],A165:A232,SAL.AGROQUIMICOS[Dosis])</f>
        <v>0</v>
      </c>
      <c r="H168" s="33">
        <f>INV.AGROQUIMICOS[[#This Row],[ENTRADAS ]]-INV.AGROQUIMICOS[[#This Row],[SALIDAS]]</f>
        <v>100</v>
      </c>
      <c r="I168" s="54">
        <v>341.04</v>
      </c>
      <c r="J168" s="44">
        <f>INV.AGROQUIMICOS[[#This Row],[STOCK ACTUAL]]*INV.AGROQUIMICOS[[#This Row],[PRECIOS UNITARIOS EN BS]]</f>
        <v>34104</v>
      </c>
      <c r="K168" s="52"/>
    </row>
    <row r="169" spans="1:11" ht="15.75" x14ac:dyDescent="0.25">
      <c r="A169" t="s">
        <v>590</v>
      </c>
      <c r="B169" t="s">
        <v>591</v>
      </c>
      <c r="C169" t="s">
        <v>201</v>
      </c>
      <c r="D169" t="s">
        <v>388</v>
      </c>
      <c r="E169" t="s">
        <v>201</v>
      </c>
      <c r="F169" s="32">
        <f>SUMIF(ING.ABROQUIMICOS[CODIGO],A168:A229,ING.ABROQUIMICOS[CANTIDAD])</f>
        <v>8</v>
      </c>
      <c r="G169" s="31">
        <f>SUMIF(SAL.AGROQUIMICOS[CodigoProducto],A168:A229,SAL.AGROQUIMICOS[Dosis])</f>
        <v>0</v>
      </c>
      <c r="H169" s="33">
        <f>INV.AGROQUIMICOS[[#This Row],[ENTRADAS ]]-INV.AGROQUIMICOS[[#This Row],[SALIDAS]]</f>
        <v>8</v>
      </c>
      <c r="I169" s="54">
        <v>114.84</v>
      </c>
      <c r="J169" s="44">
        <f>INV.AGROQUIMICOS[[#This Row],[STOCK ACTUAL]]*INV.AGROQUIMICOS[[#This Row],[PRECIOS UNITARIOS EN BS]]</f>
        <v>918.72</v>
      </c>
      <c r="K169" s="52"/>
    </row>
    <row r="170" spans="1:11" ht="15.75" x14ac:dyDescent="0.25">
      <c r="A170" t="s">
        <v>592</v>
      </c>
      <c r="B170" t="s">
        <v>593</v>
      </c>
      <c r="C170" t="s">
        <v>598</v>
      </c>
      <c r="D170" t="s">
        <v>388</v>
      </c>
      <c r="E170" t="s">
        <v>201</v>
      </c>
      <c r="F170" s="32">
        <f>SUMIF(ING.ABROQUIMICOS[CODIGO],A168:A230,ING.ABROQUIMICOS[CANTIDAD])</f>
        <v>80</v>
      </c>
      <c r="G170" s="31">
        <f>SUMIF(SAL.AGROQUIMICOS[CodigoProducto],A168:A230,SAL.AGROQUIMICOS[Dosis])</f>
        <v>0</v>
      </c>
      <c r="H170" s="33">
        <f>INV.AGROQUIMICOS[[#This Row],[ENTRADAS ]]-INV.AGROQUIMICOS[[#This Row],[SALIDAS]]</f>
        <v>80</v>
      </c>
      <c r="I170" s="54">
        <v>34.799999999999997</v>
      </c>
      <c r="J170" s="44">
        <f>INV.AGROQUIMICOS[[#This Row],[STOCK ACTUAL]]*INV.AGROQUIMICOS[[#This Row],[PRECIOS UNITARIOS EN BS]]</f>
        <v>2784</v>
      </c>
      <c r="K170" s="52"/>
    </row>
    <row r="171" spans="1:11" ht="15.75" x14ac:dyDescent="0.25">
      <c r="A171" t="s">
        <v>594</v>
      </c>
      <c r="B171" t="s">
        <v>595</v>
      </c>
      <c r="C171" t="s">
        <v>599</v>
      </c>
      <c r="D171" t="s">
        <v>388</v>
      </c>
      <c r="E171" t="s">
        <v>587</v>
      </c>
      <c r="F171" s="32">
        <f>SUMIF(ING.ABROQUIMICOS[CODIGO],A168:A231,ING.ABROQUIMICOS[CANTIDAD])</f>
        <v>50</v>
      </c>
      <c r="G171" s="31">
        <f>SUMIF(SAL.AGROQUIMICOS[CodigoProducto],A168:A231,SAL.AGROQUIMICOS[Dosis])</f>
        <v>0</v>
      </c>
      <c r="H171" s="33">
        <f>INV.AGROQUIMICOS[[#This Row],[ENTRADAS ]]-INV.AGROQUIMICOS[[#This Row],[SALIDAS]]</f>
        <v>50</v>
      </c>
      <c r="I171" s="54">
        <v>271.44</v>
      </c>
      <c r="J171" s="44">
        <f>INV.AGROQUIMICOS[[#This Row],[STOCK ACTUAL]]*INV.AGROQUIMICOS[[#This Row],[PRECIOS UNITARIOS EN BS]]</f>
        <v>13572</v>
      </c>
      <c r="K171" s="52"/>
    </row>
    <row r="172" spans="1:11" ht="15.75" x14ac:dyDescent="0.25">
      <c r="A172" t="s">
        <v>596</v>
      </c>
      <c r="B172" t="s">
        <v>597</v>
      </c>
      <c r="C172" t="s">
        <v>600</v>
      </c>
      <c r="D172" t="s">
        <v>389</v>
      </c>
      <c r="E172" t="s">
        <v>587</v>
      </c>
      <c r="F172" s="32">
        <f>SUMIF(ING.ABROQUIMICOS[CODIGO],A168:A232,ING.ABROQUIMICOS[CANTIDAD])</f>
        <v>200</v>
      </c>
      <c r="G172" s="31">
        <f>SUMIF(SAL.AGROQUIMICOS[CodigoProducto],A168:A232,SAL.AGROQUIMICOS[Dosis])</f>
        <v>0</v>
      </c>
      <c r="H172" s="33">
        <f>INV.AGROQUIMICOS[[#This Row],[ENTRADAS ]]-INV.AGROQUIMICOS[[#This Row],[SALIDAS]]</f>
        <v>200</v>
      </c>
      <c r="I172" s="54"/>
      <c r="J172" s="44">
        <f>INV.AGROQUIMICOS[[#This Row],[STOCK ACTUAL]]*INV.AGROQUIMICOS[[#This Row],[PRECIOS UNITARIOS EN BS]]</f>
        <v>0</v>
      </c>
      <c r="K172" s="52"/>
    </row>
    <row r="173" spans="1:11" ht="15.75" x14ac:dyDescent="0.25">
      <c r="A173" s="36"/>
      <c r="B173" s="37"/>
      <c r="C173" s="18"/>
      <c r="D173" s="37"/>
      <c r="E173" s="38" t="s">
        <v>273</v>
      </c>
      <c r="F173" s="39">
        <f>SUBTOTAL(109,INV.AGROQUIMICOS[[ENTRADAS ]])</f>
        <v>970630.78</v>
      </c>
      <c r="G173" s="40">
        <f>SUBTOTAL(109,INV.AGROQUIMICOS[SALIDAS])</f>
        <v>2.4249999999999998</v>
      </c>
      <c r="H173" s="40">
        <f>SUBTOTAL(109,INV.AGROQUIMICOS[STOCK ACTUAL])</f>
        <v>970628.35499999998</v>
      </c>
      <c r="I173" s="39">
        <f>SUBTOTAL(109,INV.AGROQUIMICOS[PRECIOS UNITARIOS EN BS])</f>
        <v>49280.658279999967</v>
      </c>
      <c r="J173" s="45">
        <f>SUBTOTAL(109,INV.AGROQUIMICOS[[TOTAL PRECIOS EN BS ]])</f>
        <v>5673646.7127799988</v>
      </c>
      <c r="K173" s="41"/>
    </row>
  </sheetData>
  <mergeCells count="1">
    <mergeCell ref="A2:K2"/>
  </mergeCells>
  <phoneticPr fontId="7" type="noConversion"/>
  <pageMargins left="0.7" right="0.7" top="0.75" bottom="0.75" header="0.3" footer="0.3"/>
  <pageSetup paperSize="345" scale="80" orientation="landscape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185A-F743-4F4E-A453-F0441FBFDB71}">
  <dimension ref="A1:M15"/>
  <sheetViews>
    <sheetView workbookViewId="0">
      <selection activeCell="G18" sqref="G18"/>
    </sheetView>
  </sheetViews>
  <sheetFormatPr baseColWidth="10" defaultRowHeight="15" x14ac:dyDescent="0.25"/>
  <cols>
    <col min="1" max="1" width="10.7109375" customWidth="1"/>
    <col min="2" max="2" width="37" customWidth="1"/>
    <col min="3" max="3" width="12.85546875" customWidth="1"/>
    <col min="4" max="6" width="12" customWidth="1"/>
    <col min="7" max="7" width="17.42578125" customWidth="1"/>
    <col min="8" max="8" width="14.28515625" customWidth="1"/>
    <col min="9" max="10" width="12" customWidth="1"/>
  </cols>
  <sheetData>
    <row r="1" spans="1:13" ht="26.25" x14ac:dyDescent="0.25">
      <c r="A1" s="62" t="s">
        <v>160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3" spans="1:13" ht="45" x14ac:dyDescent="0.25">
      <c r="A3" s="6" t="s">
        <v>82</v>
      </c>
      <c r="B3" s="6" t="s">
        <v>161</v>
      </c>
      <c r="C3" s="6" t="s">
        <v>159</v>
      </c>
      <c r="D3" s="6" t="s">
        <v>162</v>
      </c>
      <c r="E3" s="6" t="s">
        <v>79</v>
      </c>
      <c r="F3" s="6" t="s">
        <v>184</v>
      </c>
      <c r="G3" s="6" t="s">
        <v>187</v>
      </c>
      <c r="H3" s="6" t="s">
        <v>188</v>
      </c>
      <c r="I3" s="6" t="s">
        <v>185</v>
      </c>
      <c r="J3" s="6" t="s">
        <v>186</v>
      </c>
      <c r="K3" s="6" t="s">
        <v>269</v>
      </c>
      <c r="L3" s="6" t="s">
        <v>270</v>
      </c>
      <c r="M3" s="6" t="s">
        <v>271</v>
      </c>
    </row>
    <row r="4" spans="1:13" x14ac:dyDescent="0.25">
      <c r="A4" t="s">
        <v>166</v>
      </c>
      <c r="B4" t="s">
        <v>164</v>
      </c>
      <c r="C4" t="s">
        <v>170</v>
      </c>
      <c r="D4" t="s">
        <v>163</v>
      </c>
      <c r="E4">
        <f>SUMIF(ING.SEMILLA[CODIGO],A4:A69,ING.SEMILLA[CANTIDAD BOLSAS])</f>
        <v>275</v>
      </c>
      <c r="F4">
        <f>SUMIF(ING.SEMILLA[ARTICULO],B4:B69,ING.SEMILLA[TOTAL KG.])</f>
        <v>11000</v>
      </c>
      <c r="G4" t="e">
        <f>SUMIF(#REF!,A4:A67,#REF!)</f>
        <v>#REF!</v>
      </c>
      <c r="H4" t="e">
        <f>SUMIF(#REF!,B4:B67,#REF!)</f>
        <v>#REF!</v>
      </c>
      <c r="I4" t="e">
        <f>+SEMILLA[[#This Row],[ENTRADAS ]]-SEMILLA[[#This Row],[SALIDAS BOLSA]]</f>
        <v>#REF!</v>
      </c>
      <c r="J4" t="e">
        <f>+SEMILLA[[#This Row],[TOTAL KG.]]-SEMILLA[[#This Row],[SALIDA KG]]</f>
        <v>#REF!</v>
      </c>
      <c r="K4" s="29">
        <v>37.5</v>
      </c>
      <c r="L4" s="29">
        <f>SEMILLA[[#This Row],[ENTRADAS ]]*SEMILLA[[#This Row],[PRECIO UNITARIO EN $]]</f>
        <v>10312.5</v>
      </c>
      <c r="M4" s="29">
        <f>SEMILLA[[#This Row],[TOTAL A PAGAR $]]*6.96</f>
        <v>71775</v>
      </c>
    </row>
    <row r="5" spans="1:13" x14ac:dyDescent="0.25">
      <c r="A5" t="s">
        <v>167</v>
      </c>
      <c r="B5" t="s">
        <v>475</v>
      </c>
      <c r="C5" t="s">
        <v>170</v>
      </c>
      <c r="D5" t="s">
        <v>163</v>
      </c>
      <c r="E5">
        <f>SUMIF(ING.SEMILLA[CODIGO],A5:A70,ING.SEMILLA[CANTIDAD BOLSAS])</f>
        <v>194</v>
      </c>
      <c r="F5">
        <f>SUMIF(ING.SEMILLA[ARTICULO],B5:B70,ING.SEMILLA[TOTAL KG.])</f>
        <v>9060</v>
      </c>
      <c r="G5" t="e">
        <f>SUMIF(#REF!,A5:A68,#REF!)</f>
        <v>#REF!</v>
      </c>
      <c r="H5" t="e">
        <f>SUMIF(#REF!,B5:B68,#REF!)</f>
        <v>#REF!</v>
      </c>
      <c r="I5" t="e">
        <f>+SEMILLA[[#This Row],[ENTRADAS ]]-SEMILLA[[#This Row],[SALIDAS BOLSA]]</f>
        <v>#REF!</v>
      </c>
      <c r="J5" t="e">
        <f>+SEMILLA[[#This Row],[TOTAL KG.]]-SEMILLA[[#This Row],[SALIDA KG]]</f>
        <v>#REF!</v>
      </c>
      <c r="K5" s="29">
        <v>38.5</v>
      </c>
      <c r="L5" s="29">
        <f>SEMILLA[[#This Row],[ENTRADAS ]]*SEMILLA[[#This Row],[PRECIO UNITARIO EN $]]</f>
        <v>7469</v>
      </c>
      <c r="M5" s="29">
        <f>SEMILLA[[#This Row],[TOTAL A PAGAR $]]*6.96</f>
        <v>51984.24</v>
      </c>
    </row>
    <row r="6" spans="1:13" x14ac:dyDescent="0.25">
      <c r="A6" t="s">
        <v>168</v>
      </c>
      <c r="B6" t="s">
        <v>316</v>
      </c>
      <c r="C6" t="s">
        <v>171</v>
      </c>
      <c r="D6" t="s">
        <v>163</v>
      </c>
      <c r="E6">
        <f>SUMIF(ING.SEMILLA[CODIGO],A6:A71,ING.SEMILLA[CANTIDAD BOLSAS])</f>
        <v>5</v>
      </c>
      <c r="F6">
        <f>SUMIF(ING.SEMILLA[ARTICULO],B6:B71,ING.SEMILLA[TOTAL KG.])</f>
        <v>100</v>
      </c>
      <c r="G6" t="e">
        <f>SUMIF(#REF!,A6:A69,#REF!)</f>
        <v>#REF!</v>
      </c>
      <c r="H6" t="e">
        <f>SUMIF(#REF!,B6:B69,#REF!)</f>
        <v>#REF!</v>
      </c>
      <c r="I6" t="e">
        <f>+SEMILLA[[#This Row],[ENTRADAS ]]-SEMILLA[[#This Row],[SALIDAS BOLSA]]</f>
        <v>#REF!</v>
      </c>
      <c r="J6" t="e">
        <f>+SEMILLA[[#This Row],[TOTAL KG.]]-SEMILLA[[#This Row],[SALIDA KG]]</f>
        <v>#REF!</v>
      </c>
      <c r="K6" s="29">
        <v>166</v>
      </c>
      <c r="L6" s="29">
        <f>SEMILLA[[#This Row],[ENTRADAS ]]*SEMILLA[[#This Row],[PRECIO UNITARIO EN $]]</f>
        <v>830</v>
      </c>
      <c r="M6" s="29">
        <f>SEMILLA[[#This Row],[TOTAL A PAGAR $]]*6.96</f>
        <v>5776.8</v>
      </c>
    </row>
    <row r="7" spans="1:13" x14ac:dyDescent="0.25">
      <c r="A7" t="s">
        <v>169</v>
      </c>
      <c r="B7" t="s">
        <v>165</v>
      </c>
      <c r="C7" t="s">
        <v>172</v>
      </c>
      <c r="D7" t="s">
        <v>163</v>
      </c>
      <c r="E7">
        <f>SUMIF(ING.SEMILLA[CODIGO],A7:A72,ING.SEMILLA[CANTIDAD BOLSAS])</f>
        <v>160</v>
      </c>
      <c r="F7">
        <f>SUMIF(ING.SEMILLA[ARTICULO],B7:B72,ING.SEMILLA[TOTAL KG.])</f>
        <v>3200</v>
      </c>
      <c r="G7" t="e">
        <f>SUMIF(#REF!,A7:A70,#REF!)</f>
        <v>#REF!</v>
      </c>
      <c r="H7" t="e">
        <f>SUMIF(#REF!,B7:B70,#REF!)</f>
        <v>#REF!</v>
      </c>
      <c r="I7" t="e">
        <f>+SEMILLA[[#This Row],[ENTRADAS ]]-SEMILLA[[#This Row],[SALIDAS BOLSA]]</f>
        <v>#REF!</v>
      </c>
      <c r="J7" t="e">
        <f>+SEMILLA[[#This Row],[TOTAL KG.]]-SEMILLA[[#This Row],[SALIDA KG]]</f>
        <v>#REF!</v>
      </c>
      <c r="K7" s="29">
        <v>145</v>
      </c>
      <c r="L7" s="29">
        <f>SEMILLA[[#This Row],[ENTRADAS ]]*SEMILLA[[#This Row],[PRECIO UNITARIO EN $]]</f>
        <v>23200</v>
      </c>
      <c r="M7" s="29">
        <f>SEMILLA[[#This Row],[TOTAL A PAGAR $]]*6.96</f>
        <v>161472</v>
      </c>
    </row>
    <row r="8" spans="1:13" x14ac:dyDescent="0.25">
      <c r="A8" t="s">
        <v>292</v>
      </c>
      <c r="B8" t="s">
        <v>293</v>
      </c>
      <c r="C8" t="s">
        <v>294</v>
      </c>
      <c r="D8" t="s">
        <v>295</v>
      </c>
      <c r="E8">
        <f>SUMIF(ING.SEMILLA[CODIGO],A8:A73,ING.SEMILLA[CANTIDAD BOLSAS])</f>
        <v>274</v>
      </c>
      <c r="F8">
        <f>SUMIF(ING.SEMILLA[ARTICULO],B8:B73,ING.SEMILLA[TOTAL KG.])</f>
        <v>5480</v>
      </c>
      <c r="G8" t="e">
        <f>SUMIF(#REF!,A8:A71,#REF!)</f>
        <v>#REF!</v>
      </c>
      <c r="H8" t="e">
        <f>SUMIF(#REF!,B8:B71,#REF!)</f>
        <v>#REF!</v>
      </c>
      <c r="I8" t="e">
        <f>+SEMILLA[[#This Row],[ENTRADAS ]]-SEMILLA[[#This Row],[SALIDAS BOLSA]]</f>
        <v>#REF!</v>
      </c>
      <c r="J8" t="e">
        <f>+SEMILLA[[#This Row],[TOTAL KG.]]-SEMILLA[[#This Row],[SALIDA KG]]</f>
        <v>#REF!</v>
      </c>
      <c r="K8" s="29">
        <v>5.6752799999999999</v>
      </c>
      <c r="L8" s="29">
        <f>SEMILLA[[#This Row],[ENTRADAS ]]*SEMILLA[[#This Row],[PRECIO UNITARIO EN $]]</f>
        <v>1555.0267200000001</v>
      </c>
      <c r="M8" s="29">
        <f>SEMILLA[[#This Row],[TOTAL A PAGAR $]]*6.96</f>
        <v>10822.9859712</v>
      </c>
    </row>
    <row r="9" spans="1:13" x14ac:dyDescent="0.25">
      <c r="A9" t="s">
        <v>329</v>
      </c>
      <c r="B9" t="s">
        <v>341</v>
      </c>
      <c r="C9" t="s">
        <v>330</v>
      </c>
      <c r="D9" t="s">
        <v>163</v>
      </c>
      <c r="E9">
        <f>SUMIF(ING.SEMILLA[CODIGO],A9:A74,ING.SEMILLA[CANTIDAD BOLSAS])</f>
        <v>264</v>
      </c>
      <c r="F9">
        <f>SUMIF(ING.SEMILLA[ARTICULO],B9:B74,ING.SEMILLA[TOTAL KG.])</f>
        <v>5280</v>
      </c>
      <c r="G9" t="e">
        <f>SUMIF(#REF!,A9:A72,#REF!)</f>
        <v>#REF!</v>
      </c>
      <c r="H9" t="e">
        <f>SUMIF(#REF!,B9:B72,#REF!)</f>
        <v>#REF!</v>
      </c>
      <c r="I9" t="e">
        <f>+SEMILLA[[#This Row],[ENTRADAS ]]-SEMILLA[[#This Row],[SALIDAS BOLSA]]</f>
        <v>#REF!</v>
      </c>
      <c r="J9" t="e">
        <f>+SEMILLA[[#This Row],[TOTAL KG.]]-SEMILLA[[#This Row],[SALIDA KG]]</f>
        <v>#REF!</v>
      </c>
      <c r="K9" s="29">
        <v>14.75</v>
      </c>
      <c r="L9" s="29">
        <f>SEMILLA[[#This Row],[ENTRADAS ]]*SEMILLA[[#This Row],[PRECIO UNITARIO EN $]]</f>
        <v>3894</v>
      </c>
      <c r="M9" s="29">
        <f>SEMILLA[[#This Row],[TOTAL A PAGAR $]]*6.96</f>
        <v>27102.240000000002</v>
      </c>
    </row>
    <row r="10" spans="1:13" x14ac:dyDescent="0.25">
      <c r="A10" t="s">
        <v>331</v>
      </c>
      <c r="B10" t="s">
        <v>342</v>
      </c>
      <c r="C10" t="s">
        <v>332</v>
      </c>
      <c r="D10" t="s">
        <v>163</v>
      </c>
      <c r="E10">
        <f>SUMIF(ING.SEMILLA[CODIGO],A10:A75,ING.SEMILLA[CANTIDAD BOLSAS])</f>
        <v>60</v>
      </c>
      <c r="F10">
        <f>SUMIF(ING.SEMILLA[ARTICULO],B10:B75,ING.SEMILLA[TOTAL KG.])</f>
        <v>1200</v>
      </c>
      <c r="G10" t="e">
        <f>SUMIF(#REF!,A10:A73,#REF!)</f>
        <v>#REF!</v>
      </c>
      <c r="H10" t="e">
        <f>SUMIF(#REF!,B10:B73,#REF!)</f>
        <v>#REF!</v>
      </c>
      <c r="I10" t="e">
        <f>+SEMILLA[[#This Row],[ENTRADAS ]]-SEMILLA[[#This Row],[SALIDAS BOLSA]]</f>
        <v>#REF!</v>
      </c>
      <c r="J10" t="e">
        <f>+SEMILLA[[#This Row],[TOTAL KG.]]-SEMILLA[[#This Row],[SALIDA KG]]</f>
        <v>#REF!</v>
      </c>
      <c r="K10" s="29">
        <v>10</v>
      </c>
      <c r="L10" s="29">
        <f>SEMILLA[[#This Row],[TOTAL KG.]]*SEMILLA[[#This Row],[PRECIO UNITARIO EN $]]</f>
        <v>12000</v>
      </c>
      <c r="M10" s="29">
        <f>SEMILLA[[#This Row],[TOTAL A PAGAR $]]*6.96</f>
        <v>83520</v>
      </c>
    </row>
    <row r="11" spans="1:13" x14ac:dyDescent="0.25">
      <c r="A11" t="s">
        <v>333</v>
      </c>
      <c r="B11" t="s">
        <v>343</v>
      </c>
      <c r="C11" t="s">
        <v>334</v>
      </c>
      <c r="D11" t="s">
        <v>163</v>
      </c>
      <c r="E11">
        <f>SUMIF(ING.SEMILLA[CODIGO],A11:A76,ING.SEMILLA[CANTIDAD BOLSAS])</f>
        <v>9</v>
      </c>
      <c r="F11">
        <f>SUMIF(ING.SEMILLA[ARTICULO],B11:B76,ING.SEMILLA[TOTAL KG.])</f>
        <v>4795.5</v>
      </c>
      <c r="G11" t="e">
        <f>SUMIF(#REF!,A11:A74,#REF!)</f>
        <v>#REF!</v>
      </c>
      <c r="H11" t="e">
        <f>SUMIF(#REF!,B11:B74,#REF!)</f>
        <v>#REF!</v>
      </c>
      <c r="I11" t="e">
        <f>+SEMILLA[[#This Row],[ENTRADAS ]]-SEMILLA[[#This Row],[SALIDAS BOLSA]]</f>
        <v>#REF!</v>
      </c>
      <c r="J11" t="e">
        <f>+SEMILLA[[#This Row],[TOTAL KG.]]-SEMILLA[[#This Row],[SALIDA KG]]</f>
        <v>#REF!</v>
      </c>
      <c r="K11" s="29">
        <v>16.11</v>
      </c>
      <c r="L11" s="29">
        <f>+SEMILLA[[#This Row],[TOTAL KG.]]*SEMILLA[[#This Row],[PRECIO UNITARIO EN $]]</f>
        <v>77255.50499999999</v>
      </c>
      <c r="M11" s="29">
        <f>SEMILLA[[#This Row],[TOTAL A PAGAR $]]*6.96</f>
        <v>537698.31479999993</v>
      </c>
    </row>
    <row r="12" spans="1:13" x14ac:dyDescent="0.25">
      <c r="A12" t="s">
        <v>474</v>
      </c>
      <c r="B12" t="s">
        <v>476</v>
      </c>
      <c r="C12" t="s">
        <v>473</v>
      </c>
      <c r="D12" t="s">
        <v>163</v>
      </c>
      <c r="E12">
        <f>SUMIF(ING.SEMILLA[CODIGO],A12:A77,ING.SEMILLA[CANTIDAD BOLSAS])</f>
        <v>533</v>
      </c>
      <c r="F12">
        <f>SUMIF(ING.SEMILLA[ARTICULO],B12:B77,ING.SEMILLA[TOTAL KG.])</f>
        <v>26650</v>
      </c>
      <c r="G12" t="e">
        <f>SUMIF(#REF!,A12:A75,#REF!)</f>
        <v>#REF!</v>
      </c>
      <c r="H12" t="e">
        <f>SUMIF(#REF!,B12:B75,#REF!)</f>
        <v>#REF!</v>
      </c>
      <c r="I12" t="e">
        <f>+SEMILLA[[#This Row],[ENTRADAS ]]-SEMILLA[[#This Row],[SALIDAS BOLSA]]</f>
        <v>#REF!</v>
      </c>
      <c r="J12" t="e">
        <f>+SEMILLA[[#This Row],[TOTAL KG.]]-SEMILLA[[#This Row],[SALIDA KG]]</f>
        <v>#REF!</v>
      </c>
      <c r="K12" s="29"/>
      <c r="L12" s="29">
        <f>+SEMILLA[[#This Row],[TOTAL KG.]]*SEMILLA[[#This Row],[PRECIO UNITARIO EN $]]</f>
        <v>0</v>
      </c>
      <c r="M12" s="29">
        <f>SEMILLA[[#This Row],[TOTAL A PAGAR $]]*6.96</f>
        <v>0</v>
      </c>
    </row>
    <row r="13" spans="1:13" x14ac:dyDescent="0.25">
      <c r="A13" t="s">
        <v>477</v>
      </c>
      <c r="B13" t="s">
        <v>480</v>
      </c>
      <c r="C13" t="s">
        <v>482</v>
      </c>
      <c r="D13" t="s">
        <v>163</v>
      </c>
      <c r="E13">
        <f>SUMIF(ING.SEMILLA[CODIGO],A13:A78,ING.SEMILLA[CANTIDAD BOLSAS])</f>
        <v>43</v>
      </c>
      <c r="F13">
        <f>SUMIF(ING.SEMILLA[ARTICULO],B13:B78,ING.SEMILLA[TOTAL KG.])</f>
        <v>860</v>
      </c>
      <c r="G13" t="e">
        <f>SUMIF(#REF!,A13:A76,#REF!)</f>
        <v>#REF!</v>
      </c>
      <c r="H13" t="e">
        <f>SUMIF(#REF!,B13:B76,#REF!)</f>
        <v>#REF!</v>
      </c>
      <c r="I13" t="e">
        <f>+SEMILLA[[#This Row],[ENTRADAS ]]-SEMILLA[[#This Row],[SALIDAS BOLSA]]</f>
        <v>#REF!</v>
      </c>
      <c r="J13" t="e">
        <f>+SEMILLA[[#This Row],[TOTAL KG.]]-SEMILLA[[#This Row],[SALIDA KG]]</f>
        <v>#REF!</v>
      </c>
      <c r="K13" s="29">
        <v>8.4770114942500001</v>
      </c>
      <c r="L13" s="29">
        <f>+SEMILLA[[#This Row],[TOTAL KG.]]*SEMILLA[[#This Row],[PRECIO UNITARIO EN $]]</f>
        <v>7290.2298850550005</v>
      </c>
      <c r="M13" s="29">
        <f>SEMILLA[[#This Row],[TOTAL A PAGAR $]]*6.96</f>
        <v>50739.999999982807</v>
      </c>
    </row>
    <row r="14" spans="1:13" x14ac:dyDescent="0.25">
      <c r="A14" t="s">
        <v>478</v>
      </c>
      <c r="B14" t="s">
        <v>481</v>
      </c>
      <c r="C14" t="s">
        <v>483</v>
      </c>
      <c r="D14" t="s">
        <v>163</v>
      </c>
      <c r="E14">
        <f>SUMIF(ING.SEMILLA[CODIGO],A14:A79,ING.SEMILLA[CANTIDAD BOLSAS])</f>
        <v>49</v>
      </c>
      <c r="F14">
        <f>SUMIF(ING.SEMILLA[ARTICULO],B14:B79,ING.SEMILLA[TOTAL KG.])</f>
        <v>980</v>
      </c>
      <c r="G14" t="e">
        <f>SUMIF(#REF!,A14:A77,#REF!)</f>
        <v>#REF!</v>
      </c>
      <c r="H14" t="e">
        <f>SUMIF(#REF!,B14:B77,#REF!)</f>
        <v>#REF!</v>
      </c>
      <c r="I14" t="e">
        <f>+SEMILLA[[#This Row],[ENTRADAS ]]-SEMILLA[[#This Row],[SALIDAS BOLSA]]</f>
        <v>#REF!</v>
      </c>
      <c r="J14" t="e">
        <f>+SEMILLA[[#This Row],[TOTAL KG.]]-SEMILLA[[#This Row],[SALIDA KG]]</f>
        <v>#REF!</v>
      </c>
      <c r="K14" s="29">
        <v>4.1666666666600003</v>
      </c>
      <c r="L14" s="29">
        <f>+SEMILLA[[#This Row],[TOTAL KG.]]*SEMILLA[[#This Row],[PRECIO UNITARIO EN $]]</f>
        <v>4083.3333333268001</v>
      </c>
      <c r="M14" s="29">
        <f>SEMILLA[[#This Row],[TOTAL A PAGAR $]]*6.96</f>
        <v>28419.999999954529</v>
      </c>
    </row>
    <row r="15" spans="1:13" x14ac:dyDescent="0.25">
      <c r="A15" s="56"/>
    </row>
  </sheetData>
  <mergeCells count="1">
    <mergeCell ref="A1:M1"/>
  </mergeCells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BA44-CF5F-443B-A1C2-BA7D2344642C}">
  <dimension ref="A1:R6"/>
  <sheetViews>
    <sheetView tabSelected="1" zoomScale="85" zoomScaleNormal="85" workbookViewId="0">
      <selection activeCell="I12" sqref="I12"/>
    </sheetView>
  </sheetViews>
  <sheetFormatPr baseColWidth="10" defaultRowHeight="15" x14ac:dyDescent="0.25"/>
  <cols>
    <col min="2" max="2" width="17.5703125" customWidth="1"/>
    <col min="3" max="3" width="8.42578125" customWidth="1"/>
    <col min="5" max="5" width="9.28515625" customWidth="1"/>
    <col min="9" max="10" width="16.7109375" customWidth="1"/>
    <col min="11" max="16" width="12.42578125" customWidth="1"/>
    <col min="17" max="17" width="12.7109375" customWidth="1"/>
    <col min="18" max="18" width="12.5703125" customWidth="1"/>
  </cols>
  <sheetData>
    <row r="1" spans="1:18" ht="26.25" x14ac:dyDescent="0.4">
      <c r="A1" s="74" t="s">
        <v>619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13.5" customHeight="1" x14ac:dyDescent="0.45"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3" spans="1:18" ht="31.5" x14ac:dyDescent="0.25">
      <c r="A3" s="66" t="s">
        <v>0</v>
      </c>
      <c r="B3" s="66" t="s">
        <v>601</v>
      </c>
      <c r="C3" s="66" t="s">
        <v>602</v>
      </c>
      <c r="D3" s="66" t="s">
        <v>603</v>
      </c>
      <c r="E3" s="66" t="s">
        <v>604</v>
      </c>
      <c r="F3" s="75" t="s">
        <v>605</v>
      </c>
      <c r="G3" s="76" t="s">
        <v>606</v>
      </c>
      <c r="H3" s="75" t="s">
        <v>607</v>
      </c>
      <c r="I3" s="77" t="s">
        <v>87</v>
      </c>
      <c r="J3" s="75" t="s">
        <v>2</v>
      </c>
      <c r="K3" s="75" t="s">
        <v>608</v>
      </c>
      <c r="L3" s="75" t="s">
        <v>609</v>
      </c>
      <c r="M3" s="75" t="s">
        <v>88</v>
      </c>
      <c r="N3" s="75" t="s">
        <v>610</v>
      </c>
      <c r="O3" s="78" t="s">
        <v>260</v>
      </c>
      <c r="P3" s="78" t="s">
        <v>261</v>
      </c>
      <c r="Q3" s="75" t="s">
        <v>611</v>
      </c>
      <c r="R3" s="75" t="s">
        <v>612</v>
      </c>
    </row>
    <row r="4" spans="1:18" x14ac:dyDescent="0.25">
      <c r="A4" t="s">
        <v>91</v>
      </c>
      <c r="B4" t="s">
        <v>443</v>
      </c>
      <c r="C4" t="s">
        <v>613</v>
      </c>
      <c r="D4" t="s">
        <v>472</v>
      </c>
      <c r="E4">
        <v>160</v>
      </c>
      <c r="F4" s="4">
        <v>46133</v>
      </c>
      <c r="G4" t="s">
        <v>517</v>
      </c>
      <c r="H4" t="s">
        <v>494</v>
      </c>
      <c r="I4" t="str">
        <f>IFERROR(VLOOKUP(SAL.AGROQUIMICOS[[#This Row],[CodigoProducto]],INV.AGROQUIMICOS[],2,FALSE),"NO EXIXTE")</f>
        <v>Totalquat</v>
      </c>
      <c r="J4">
        <v>80</v>
      </c>
      <c r="K4" s="2">
        <v>2</v>
      </c>
      <c r="L4" s="2" t="s">
        <v>614</v>
      </c>
      <c r="M4" s="2">
        <f>+SAL.AGROQUIMICOS[[#This Row],[Dosis]]*SAL.AGROQUIMICOS[[#This Row],[Cant. Hectáreas ]]</f>
        <v>160</v>
      </c>
      <c r="N4" s="2" t="s">
        <v>615</v>
      </c>
      <c r="O4" s="57"/>
      <c r="P4" s="57">
        <f>+SAL.AGROQUIMICOS[[#This Row],[Precio/Kg , Bs]]*SAL.AGROQUIMICOS[[#This Row],[Total Producto]]</f>
        <v>0</v>
      </c>
      <c r="Q4" t="s">
        <v>616</v>
      </c>
      <c r="R4" t="s">
        <v>617</v>
      </c>
    </row>
    <row r="5" spans="1:18" x14ac:dyDescent="0.25">
      <c r="A5" t="s">
        <v>91</v>
      </c>
      <c r="B5" t="s">
        <v>443</v>
      </c>
      <c r="C5" t="s">
        <v>613</v>
      </c>
      <c r="D5" t="s">
        <v>472</v>
      </c>
      <c r="E5">
        <v>160</v>
      </c>
      <c r="F5" s="4">
        <v>46133</v>
      </c>
      <c r="G5" t="s">
        <v>517</v>
      </c>
      <c r="H5" t="s">
        <v>493</v>
      </c>
      <c r="I5" t="str">
        <f>IFERROR(VLOOKUP(SAL.AGROQUIMICOS[[#This Row],[CodigoProducto]],INV.AGROQUIMICOS[],2,FALSE),"NO EXIXTE")</f>
        <v>Danken hard mix</v>
      </c>
      <c r="J5">
        <v>80</v>
      </c>
      <c r="K5" s="2">
        <v>2.5000000000000001E-2</v>
      </c>
      <c r="L5" s="2" t="s">
        <v>614</v>
      </c>
      <c r="M5" s="2">
        <f>+SAL.AGROQUIMICOS[[#This Row],[Dosis]]*SAL.AGROQUIMICOS[[#This Row],[Cant. Hectáreas ]]</f>
        <v>2</v>
      </c>
      <c r="N5" s="2" t="s">
        <v>615</v>
      </c>
      <c r="O5" s="57"/>
      <c r="P5" s="57">
        <f>+SAL.AGROQUIMICOS[[#This Row],[Precio/Kg , Bs]]*SAL.AGROQUIMICOS[[#This Row],[Total Producto]]</f>
        <v>0</v>
      </c>
      <c r="Q5" t="s">
        <v>616</v>
      </c>
      <c r="R5" t="s">
        <v>617</v>
      </c>
    </row>
    <row r="6" spans="1:18" x14ac:dyDescent="0.25">
      <c r="A6" t="s">
        <v>182</v>
      </c>
      <c r="B6" t="s">
        <v>443</v>
      </c>
      <c r="C6" t="s">
        <v>618</v>
      </c>
      <c r="D6" t="s">
        <v>541</v>
      </c>
      <c r="E6">
        <v>125</v>
      </c>
      <c r="F6" s="4">
        <v>46133</v>
      </c>
      <c r="G6" t="s">
        <v>567</v>
      </c>
      <c r="H6" s="67" t="s">
        <v>16</v>
      </c>
      <c r="I6" t="str">
        <f>IFERROR(VLOOKUP(SAL.AGROQUIMICOS[[#This Row],[CodigoProducto]],INV.AGROQUIMICOS[],2,FALSE),"NO EXIXTE")</f>
        <v>Acarol plus</v>
      </c>
      <c r="J6" s="68">
        <v>62.5</v>
      </c>
      <c r="K6" s="65">
        <v>0.4</v>
      </c>
      <c r="L6" s="69" t="s">
        <v>614</v>
      </c>
      <c r="M6" s="70">
        <f>+SAL.AGROQUIMICOS[[#This Row],[Dosis]]*SAL.AGROQUIMICOS[[#This Row],[Cant. Hectáreas ]]</f>
        <v>25</v>
      </c>
      <c r="N6" s="69" t="s">
        <v>615</v>
      </c>
      <c r="O6" s="71"/>
      <c r="P6" s="72">
        <f>+SAL.AGROQUIMICOS[[#This Row],[Precio/Kg , Bs]]*SAL.AGROQUIMICOS[[#This Row],[Total Producto]]</f>
        <v>0</v>
      </c>
      <c r="Q6" s="68" t="s">
        <v>616</v>
      </c>
      <c r="R6" s="68" t="s">
        <v>617</v>
      </c>
    </row>
  </sheetData>
  <mergeCells count="1">
    <mergeCell ref="A1:R1"/>
  </mergeCells>
  <phoneticPr fontId="7" type="noConversion"/>
  <pageMargins left="0.7" right="0.7" top="0.75" bottom="0.75" header="0.3" footer="0.3"/>
  <ignoredErrors>
    <ignoredError sqref="I4 I5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4252-A43B-49D0-BC7E-1A2E10F1AE2D}">
  <dimension ref="A1:N324"/>
  <sheetViews>
    <sheetView workbookViewId="0">
      <selection activeCell="G324" sqref="G324"/>
    </sheetView>
  </sheetViews>
  <sheetFormatPr baseColWidth="10" defaultRowHeight="15" x14ac:dyDescent="0.25"/>
  <cols>
    <col min="2" max="2" width="15.5703125" customWidth="1"/>
    <col min="4" max="4" width="12.42578125" customWidth="1"/>
    <col min="5" max="5" width="20.7109375" customWidth="1"/>
    <col min="7" max="7" width="12" customWidth="1"/>
    <col min="8" max="8" width="40.140625" customWidth="1"/>
    <col min="9" max="13" width="12" customWidth="1"/>
    <col min="14" max="14" width="20" customWidth="1"/>
  </cols>
  <sheetData>
    <row r="1" spans="1:14" ht="28.5" x14ac:dyDescent="0.45">
      <c r="A1" s="63" t="s">
        <v>176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28.5" x14ac:dyDescent="0.45">
      <c r="A2" s="63" t="s">
        <v>191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 ht="21" x14ac:dyDescent="0.35">
      <c r="A3" s="64" t="s">
        <v>189</v>
      </c>
      <c r="B3" s="64"/>
      <c r="C3" s="64"/>
      <c r="D3" s="64"/>
      <c r="E3" s="64"/>
      <c r="G3" s="64" t="s">
        <v>190</v>
      </c>
      <c r="H3" s="64"/>
      <c r="I3" s="64"/>
      <c r="J3" s="64"/>
      <c r="K3" s="64"/>
      <c r="L3" s="64"/>
      <c r="M3" s="64"/>
      <c r="N3" s="64"/>
    </row>
    <row r="4" spans="1:14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G4" t="s">
        <v>82</v>
      </c>
      <c r="H4" t="s">
        <v>83</v>
      </c>
      <c r="I4" t="s">
        <v>84</v>
      </c>
      <c r="J4" t="s">
        <v>183</v>
      </c>
      <c r="K4" t="s">
        <v>184</v>
      </c>
      <c r="L4" t="s">
        <v>174</v>
      </c>
      <c r="M4" t="s">
        <v>175</v>
      </c>
      <c r="N4" t="s">
        <v>86</v>
      </c>
    </row>
    <row r="5" spans="1:14" x14ac:dyDescent="0.25">
      <c r="A5" t="s">
        <v>45</v>
      </c>
      <c r="B5" t="str">
        <f>IFERROR(VLOOKUP(ING.ABROQUIMICOS[[#This Row],[CODIGO]],INV.AGROQUIMICOS[],2,FALSE),"NO EXISTE")</f>
        <v>Ultimatum</v>
      </c>
      <c r="C5" s="4">
        <v>45615</v>
      </c>
      <c r="D5">
        <v>1</v>
      </c>
      <c r="E5" t="s">
        <v>181</v>
      </c>
      <c r="G5" t="s">
        <v>166</v>
      </c>
      <c r="H5" t="str">
        <f>IFERROR(VLOOKUP(ING.SEMILLA[[#This Row],[CODIGO]],SEMILLA[],2,FALSE),"NO EXISTE")</f>
        <v>SEMILLA SOYA CON CATEGORIA (40Kgs)</v>
      </c>
      <c r="I5" s="4">
        <v>45611</v>
      </c>
      <c r="J5">
        <f>150+125</f>
        <v>275</v>
      </c>
      <c r="K5">
        <f>+ING.SEMILLA[[#This Row],[CANTIDAD BOLSAS]]*40</f>
        <v>11000</v>
      </c>
      <c r="L5" s="29"/>
      <c r="M5" s="29">
        <f>ING.SEMILLA[[#This Row],[TOTAL KG.]]*ING.SEMILLA[[#This Row],[PRECIO KG]]</f>
        <v>0</v>
      </c>
    </row>
    <row r="6" spans="1:14" x14ac:dyDescent="0.25">
      <c r="A6" t="s">
        <v>68</v>
      </c>
      <c r="B6" t="str">
        <f>IFERROR(VLOOKUP(ING.ABROQUIMICOS[[#This Row],[CODIGO]],INV.AGROQUIMICOS[],2,FALSE),"NO EXISTE")</f>
        <v>Trump</v>
      </c>
      <c r="C6" s="4">
        <v>45615</v>
      </c>
      <c r="D6">
        <v>24.15</v>
      </c>
      <c r="E6" t="s">
        <v>181</v>
      </c>
      <c r="G6" t="s">
        <v>167</v>
      </c>
      <c r="H6" t="str">
        <f>IFERROR(VLOOKUP(ING.SEMILLA[[#This Row],[CODIGO]],SEMILLA[],2,FALSE),"NO EXISTE")</f>
        <v>SEMILLA SOYA (40Kgs(SW 4795))</v>
      </c>
      <c r="I6" s="4">
        <v>45611</v>
      </c>
      <c r="J6">
        <v>64</v>
      </c>
      <c r="K6">
        <f>+ING.SEMILLA[[#This Row],[CANTIDAD BOLSAS]]*40</f>
        <v>2560</v>
      </c>
      <c r="L6" s="29"/>
      <c r="M6" s="29">
        <f>ING.SEMILLA[[#This Row],[TOTAL KG.]]*ING.SEMILLA[[#This Row],[PRECIO KG]]</f>
        <v>0</v>
      </c>
      <c r="N6" t="s">
        <v>181</v>
      </c>
    </row>
    <row r="7" spans="1:14" x14ac:dyDescent="0.25">
      <c r="A7" t="s">
        <v>39</v>
      </c>
      <c r="B7" t="str">
        <f>IFERROR(VLOOKUP(ING.ABROQUIMICOS[[#This Row],[CODIGO]],INV.AGROQUIMICOS[],2,FALSE),"NO EXISTE")</f>
        <v>Trigger</v>
      </c>
      <c r="C7" s="4">
        <v>45615</v>
      </c>
      <c r="D7">
        <v>20</v>
      </c>
      <c r="E7" t="s">
        <v>181</v>
      </c>
      <c r="G7" t="s">
        <v>168</v>
      </c>
      <c r="H7" t="str">
        <f>IFERROR(VLOOKUP(ING.SEMILLA[[#This Row],[CODIGO]],SEMILLA[],2,FALSE),"NO EXISTE")</f>
        <v xml:space="preserve">SEMILLA SORGO IMPORT (20 kgs) </v>
      </c>
      <c r="I7" s="4">
        <v>45611</v>
      </c>
      <c r="J7">
        <v>5</v>
      </c>
      <c r="K7">
        <v>100</v>
      </c>
      <c r="L7" s="29"/>
      <c r="M7" s="29">
        <f>ING.SEMILLA[[#This Row],[TOTAL KG.]]*ING.SEMILLA[[#This Row],[PRECIO KG]]</f>
        <v>0</v>
      </c>
    </row>
    <row r="8" spans="1:14" x14ac:dyDescent="0.25">
      <c r="A8" t="s">
        <v>15</v>
      </c>
      <c r="B8" t="str">
        <f>IFERROR(VLOOKUP(ING.ABROQUIMICOS[[#This Row],[CODIGO]],INV.AGROQUIMICOS[],2,FALSE),"NO EXISTE")</f>
        <v>Tonus</v>
      </c>
      <c r="C8" s="4">
        <v>45615</v>
      </c>
      <c r="D8">
        <v>3</v>
      </c>
      <c r="E8" t="s">
        <v>181</v>
      </c>
      <c r="G8" t="s">
        <v>169</v>
      </c>
      <c r="H8" t="str">
        <f>IFERROR(VLOOKUP(ING.SEMILLA[[#This Row],[CODIGO]],SEMILLA[],2,FALSE),"NO EXISTE")</f>
        <v>SEMILLA SORGO (20 Kgs)</v>
      </c>
      <c r="I8" s="4">
        <v>45611</v>
      </c>
      <c r="J8">
        <v>160</v>
      </c>
      <c r="K8">
        <v>3200</v>
      </c>
      <c r="L8" s="29"/>
      <c r="M8" s="29">
        <f>ING.SEMILLA[[#This Row],[TOTAL KG.]]*ING.SEMILLA[[#This Row],[PRECIO KG]]</f>
        <v>0</v>
      </c>
    </row>
    <row r="9" spans="1:14" x14ac:dyDescent="0.25">
      <c r="A9" t="s">
        <v>67</v>
      </c>
      <c r="B9" t="str">
        <f>IFERROR(VLOOKUP(ING.ABROQUIMICOS[[#This Row],[CODIGO]],INV.AGROQUIMICOS[],2,FALSE),"NO EXISTE")</f>
        <v>Tocon</v>
      </c>
      <c r="C9" s="4">
        <v>45615</v>
      </c>
      <c r="D9">
        <v>6</v>
      </c>
      <c r="E9" t="s">
        <v>181</v>
      </c>
      <c r="G9" t="s">
        <v>292</v>
      </c>
      <c r="H9" t="str">
        <f>IFERROR(VLOOKUP(ING.SEMILLA[[#This Row],[CODIGO]],SEMILLA[],2,FALSE),"NO EXISTE")</f>
        <v>SEMILLA DE PASTO MOMBASA (20Kgs)</v>
      </c>
      <c r="I9" s="4">
        <v>45681</v>
      </c>
      <c r="J9">
        <v>75</v>
      </c>
      <c r="K9">
        <f>+ING.SEMILLA[[#This Row],[CANTIDAD BOLSAS]]*20</f>
        <v>1500</v>
      </c>
      <c r="L9" s="29">
        <v>39.5</v>
      </c>
      <c r="M9" s="29">
        <f>ING.SEMILLA[[#This Row],[TOTAL KG.]]*ING.SEMILLA[[#This Row],[PRECIO KG]]</f>
        <v>59250</v>
      </c>
    </row>
    <row r="10" spans="1:14" x14ac:dyDescent="0.25">
      <c r="A10" t="s">
        <v>52</v>
      </c>
      <c r="B10" t="str">
        <f>IFERROR(VLOOKUP(ING.ABROQUIMICOS[[#This Row],[CODIGO]],INV.AGROQUIMICOS[],2,FALSE),"NO EXISTE")</f>
        <v>Thorsagro</v>
      </c>
      <c r="C10" s="4">
        <v>45615</v>
      </c>
      <c r="D10">
        <v>5</v>
      </c>
      <c r="E10" t="s">
        <v>181</v>
      </c>
      <c r="G10" t="s">
        <v>292</v>
      </c>
      <c r="H10" t="str">
        <f>IFERROR(VLOOKUP(ING.SEMILLA[[#This Row],[CODIGO]],SEMILLA[],2,FALSE),"NO EXISTE")</f>
        <v>SEMILLA DE PASTO MOMBASA (20Kgs)</v>
      </c>
      <c r="I10" s="4">
        <v>45707</v>
      </c>
      <c r="J10">
        <v>75</v>
      </c>
      <c r="K10">
        <f>+ING.SEMILLA[[#This Row],[CANTIDAD BOLSAS]]*20</f>
        <v>1500</v>
      </c>
      <c r="L10" s="29">
        <v>19.77</v>
      </c>
      <c r="M10" s="29">
        <f>ING.SEMILLA[[#This Row],[TOTAL KG.]]*ING.SEMILLA[[#This Row],[PRECIO KG]]</f>
        <v>29655</v>
      </c>
    </row>
    <row r="11" spans="1:14" x14ac:dyDescent="0.25">
      <c r="A11" t="s">
        <v>27</v>
      </c>
      <c r="B11" t="str">
        <f>IFERROR(VLOOKUP(ING.ABROQUIMICOS[[#This Row],[CODIGO]],INV.AGROQUIMICOS[],2,FALSE),"NO EXISTE")</f>
        <v>Tebucon max</v>
      </c>
      <c r="C11" s="4">
        <v>45615</v>
      </c>
      <c r="D11">
        <v>160</v>
      </c>
      <c r="E11" t="s">
        <v>181</v>
      </c>
      <c r="G11" t="s">
        <v>329</v>
      </c>
      <c r="H11" t="str">
        <f>IFERROR(VLOOKUP(ING.SEMILLA[[#This Row],[CODIGO]],SEMILLA[],2,FALSE),"NO EXISTE")</f>
        <v>SEMILLA SORGO(20Kgs) Dekalb 520</v>
      </c>
      <c r="I11" s="4">
        <v>45717</v>
      </c>
      <c r="J11">
        <v>130</v>
      </c>
      <c r="K11">
        <f>+ING.SEMILLA[[#This Row],[CANTIDAD BOLSAS]]*20</f>
        <v>2600</v>
      </c>
      <c r="L11" s="29">
        <v>51.33</v>
      </c>
      <c r="M11" s="29">
        <f>ING.SEMILLA[[#This Row],[TOTAL KG.]]*ING.SEMILLA[[#This Row],[PRECIO KG]]</f>
        <v>133458</v>
      </c>
    </row>
    <row r="12" spans="1:14" x14ac:dyDescent="0.25">
      <c r="A12" t="s">
        <v>54</v>
      </c>
      <c r="B12" t="str">
        <f>IFERROR(VLOOKUP(ING.ABROQUIMICOS[[#This Row],[CODIGO]],INV.AGROQUIMICOS[],2,FALSE),"NO EXISTE")</f>
        <v>Sunami</v>
      </c>
      <c r="C12" s="4">
        <v>45615</v>
      </c>
      <c r="D12">
        <v>2</v>
      </c>
      <c r="E12" t="s">
        <v>181</v>
      </c>
      <c r="G12" t="s">
        <v>329</v>
      </c>
      <c r="H12" t="str">
        <f>IFERROR(VLOOKUP(ING.SEMILLA[[#This Row],[CODIGO]],SEMILLA[],2,FALSE),"NO EXISTE")</f>
        <v>SEMILLA SORGO(20Kgs) Dekalb 520</v>
      </c>
      <c r="I12" s="4">
        <v>45751</v>
      </c>
      <c r="J12">
        <v>104</v>
      </c>
      <c r="K12">
        <f>+ING.SEMILLA[[#This Row],[CANTIDAD BOLSAS]]*20</f>
        <v>2080</v>
      </c>
      <c r="L12" s="29">
        <v>51.33</v>
      </c>
      <c r="M12" s="29">
        <f>ING.SEMILLA[[#This Row],[TOTAL KG.]]*ING.SEMILLA[[#This Row],[PRECIO KG]]</f>
        <v>106766.39999999999</v>
      </c>
    </row>
    <row r="13" spans="1:14" x14ac:dyDescent="0.25">
      <c r="A13" t="s">
        <v>70</v>
      </c>
      <c r="B13" t="str">
        <f>IFERROR(VLOOKUP(ING.ABROQUIMICOS[[#This Row],[CODIGO]],INV.AGROQUIMICOS[],2,FALSE),"NO EXISTE")</f>
        <v>Spinor</v>
      </c>
      <c r="C13" s="4">
        <v>45615</v>
      </c>
      <c r="D13">
        <v>274.32</v>
      </c>
      <c r="E13" t="s">
        <v>181</v>
      </c>
      <c r="G13" t="s">
        <v>331</v>
      </c>
      <c r="H13" t="str">
        <f>IFERROR(VLOOKUP(ING.SEMILLA[[#This Row],[CODIGO]],SEMILLA[],2,FALSE),"NO EXISTE")</f>
        <v>SEMILLA SORGO(20Kgs). Crackan</v>
      </c>
      <c r="I13" s="4">
        <v>45753</v>
      </c>
      <c r="J13">
        <v>60</v>
      </c>
      <c r="K13">
        <f>+ING.SEMILLA[[#This Row],[CANTIDAD BOLSAS]]*20</f>
        <v>1200</v>
      </c>
      <c r="L13" s="29">
        <v>69.599999999999994</v>
      </c>
      <c r="M13" s="29">
        <f>ING.SEMILLA[[#This Row],[TOTAL KG.]]*ING.SEMILLA[[#This Row],[PRECIO KG]]</f>
        <v>83520</v>
      </c>
    </row>
    <row r="14" spans="1:14" x14ac:dyDescent="0.25">
      <c r="A14" t="s">
        <v>65</v>
      </c>
      <c r="B14" t="str">
        <f>IFERROR(VLOOKUP(ING.ABROQUIMICOS[[#This Row],[CODIGO]],INV.AGROQUIMICOS[],2,FALSE),"NO EXISTE")</f>
        <v>Soja siembra plus</v>
      </c>
      <c r="C14" s="4">
        <v>45615</v>
      </c>
      <c r="D14">
        <v>13.2</v>
      </c>
      <c r="E14" t="s">
        <v>181</v>
      </c>
      <c r="G14" t="s">
        <v>333</v>
      </c>
      <c r="H14" t="str">
        <f>IFERROR(VLOOKUP(ING.SEMILLA[[#This Row],[CODIGO]],SEMILLA[],2,FALSE),"NO EXISTE")</f>
        <v>SEMILLA DE MAIZ(558,5 Kgs.) CVR</v>
      </c>
      <c r="I14" s="4">
        <v>45753</v>
      </c>
      <c r="J14">
        <v>3</v>
      </c>
      <c r="K14">
        <f>+ING.SEMILLA[[#This Row],[CANTIDAD BOLSAS]]*558.5</f>
        <v>1675.5</v>
      </c>
      <c r="L14" s="29">
        <v>112.16</v>
      </c>
      <c r="M14" s="29">
        <f>ING.SEMILLA[[#This Row],[TOTAL KG.]]*ING.SEMILLA[[#This Row],[PRECIO KG]]</f>
        <v>187924.08</v>
      </c>
    </row>
    <row r="15" spans="1:14" x14ac:dyDescent="0.25">
      <c r="A15" t="s">
        <v>69</v>
      </c>
      <c r="B15" t="str">
        <f>IFERROR(VLOOKUP(ING.ABROQUIMICOS[[#This Row],[CODIGO]],INV.AGROQUIMICOS[],2,FALSE),"NO EXISTE")</f>
        <v>Rimon fast</v>
      </c>
      <c r="C15" s="4">
        <v>45615</v>
      </c>
      <c r="D15">
        <v>11.700000000000017</v>
      </c>
      <c r="E15" t="s">
        <v>181</v>
      </c>
      <c r="G15" t="s">
        <v>474</v>
      </c>
      <c r="H15" t="str">
        <f>IFERROR(VLOOKUP(ING.SEMILLA[[#This Row],[CODIGO]],SEMILLA[],2,FALSE),"NO EXISTE")</f>
        <v>SEMILLA DE SOYA(50 Kgs.(Olimpo)</v>
      </c>
      <c r="I15" s="4">
        <v>45870</v>
      </c>
      <c r="J15">
        <v>233</v>
      </c>
      <c r="K15">
        <f>+ING.SEMILLA[[#This Row],[CANTIDAD BOLSAS]]*50</f>
        <v>11650</v>
      </c>
      <c r="L15" s="29"/>
      <c r="M15" s="29">
        <f>ING.SEMILLA[[#This Row],[TOTAL KG.]]*ING.SEMILLA[[#This Row],[PRECIO KG]]</f>
        <v>0</v>
      </c>
    </row>
    <row r="16" spans="1:14" x14ac:dyDescent="0.25">
      <c r="A16" t="s">
        <v>23</v>
      </c>
      <c r="B16" t="str">
        <f>IFERROR(VLOOKUP(ING.ABROQUIMICOS[[#This Row],[CODIGO]],INV.AGROQUIMICOS[],2,FALSE),"NO EXISTE")</f>
        <v>Rein</v>
      </c>
      <c r="C16" s="4">
        <v>45615</v>
      </c>
      <c r="D16">
        <v>29</v>
      </c>
      <c r="E16" t="s">
        <v>181</v>
      </c>
      <c r="G16" t="s">
        <v>167</v>
      </c>
      <c r="H16" t="str">
        <f>IFERROR(VLOOKUP(ING.SEMILLA[[#This Row],[CODIGO]],SEMILLA[],2,FALSE),"NO EXISTE")</f>
        <v>SEMILLA SOYA (40Kgs(SW 4795))</v>
      </c>
      <c r="I16" s="4">
        <v>45870</v>
      </c>
      <c r="J16">
        <v>130</v>
      </c>
      <c r="K16">
        <f>+ING.SEMILLA[[#This Row],[CANTIDAD BOLSAS]]*50</f>
        <v>6500</v>
      </c>
      <c r="L16" s="29"/>
      <c r="M16" s="29">
        <f>ING.SEMILLA[[#This Row],[TOTAL KG.]]*ING.SEMILLA[[#This Row],[PRECIO KG]]</f>
        <v>0</v>
      </c>
    </row>
    <row r="17" spans="1:13" x14ac:dyDescent="0.25">
      <c r="A17" t="s">
        <v>33</v>
      </c>
      <c r="B17" t="str">
        <f>IFERROR(VLOOKUP(ING.ABROQUIMICOS[[#This Row],[CODIGO]],INV.AGROQUIMICOS[],2,FALSE),"NO EXISTE")</f>
        <v>Racing</v>
      </c>
      <c r="C17" s="4">
        <v>45615</v>
      </c>
      <c r="D17">
        <v>9</v>
      </c>
      <c r="E17" t="s">
        <v>181</v>
      </c>
      <c r="G17" t="s">
        <v>479</v>
      </c>
      <c r="H17" t="str">
        <f>IFERROR(VLOOKUP(ING.SEMILLA[[#This Row],[CODIGO]],SEMILLA[],2,FALSE),"NO EXISTE")</f>
        <v>SEMILLA DE PASTO MOMBASA (20Kgs)</v>
      </c>
      <c r="I17" s="4">
        <v>45985</v>
      </c>
      <c r="J17">
        <v>73</v>
      </c>
      <c r="K17">
        <f>+ING.SEMILLA[[#This Row],[CANTIDAD BOLSAS]]*20</f>
        <v>1460</v>
      </c>
      <c r="L17" s="29"/>
      <c r="M17" s="29">
        <f>ING.SEMILLA[[#This Row],[TOTAL KG.]]*ING.SEMILLA[[#This Row],[PRECIO KG]]</f>
        <v>0</v>
      </c>
    </row>
    <row r="18" spans="1:13" x14ac:dyDescent="0.25">
      <c r="A18" t="s">
        <v>55</v>
      </c>
      <c r="B18" t="str">
        <f>IFERROR(VLOOKUP(ING.ABROQUIMICOS[[#This Row],[CODIGO]],INV.AGROQUIMICOS[],2,FALSE),"NO EXISTE")</f>
        <v>Quintal xtra</v>
      </c>
      <c r="C18" s="4">
        <v>45615</v>
      </c>
      <c r="D18">
        <v>45</v>
      </c>
      <c r="E18" t="s">
        <v>181</v>
      </c>
      <c r="G18" t="s">
        <v>477</v>
      </c>
      <c r="H18" t="str">
        <f>IFERROR(VLOOKUP(ING.SEMILLA[[#This Row],[CODIGO]],SEMILLA[],2,FALSE),"NO EXISTE")</f>
        <v>SEMILLA DE PASTO PIATA (20Kgs)</v>
      </c>
      <c r="I18" s="4">
        <v>45985</v>
      </c>
      <c r="J18">
        <v>24</v>
      </c>
      <c r="K18">
        <f>+ING.SEMILLA[[#This Row],[CANTIDAD BOLSAS]]*20</f>
        <v>480</v>
      </c>
      <c r="L18" s="29"/>
      <c r="M18" s="29">
        <f>ING.SEMILLA[[#This Row],[TOTAL KG.]]*ING.SEMILLA[[#This Row],[PRECIO KG]]</f>
        <v>0</v>
      </c>
    </row>
    <row r="19" spans="1:13" x14ac:dyDescent="0.25">
      <c r="A19" t="s">
        <v>47</v>
      </c>
      <c r="B19" t="str">
        <f>IFERROR(VLOOKUP(ING.ABROQUIMICOS[[#This Row],[CODIGO]],INV.AGROQUIMICOS[],2,FALSE),"NO EXISTE")</f>
        <v>Proxyfen</v>
      </c>
      <c r="C19" s="4">
        <v>45615</v>
      </c>
      <c r="D19">
        <v>20</v>
      </c>
      <c r="E19" t="s">
        <v>181</v>
      </c>
      <c r="G19" t="s">
        <v>478</v>
      </c>
      <c r="H19" t="str">
        <f>IFERROR(VLOOKUP(ING.SEMILLA[[#This Row],[CODIGO]],SEMILLA[],2,FALSE),"NO EXISTE")</f>
        <v>SEMILLA DE PASTO RUFICIENCIS (20Kgs)</v>
      </c>
      <c r="I19" s="4">
        <v>45985</v>
      </c>
      <c r="J19">
        <v>49</v>
      </c>
      <c r="K19">
        <f>+ING.SEMILLA[[#This Row],[CANTIDAD BOLSAS]]*20</f>
        <v>980</v>
      </c>
      <c r="L19" s="29"/>
      <c r="M19" s="29">
        <f>ING.SEMILLA[[#This Row],[TOTAL KG.]]*ING.SEMILLA[[#This Row],[PRECIO KG]]</f>
        <v>0</v>
      </c>
    </row>
    <row r="20" spans="1:13" x14ac:dyDescent="0.25">
      <c r="A20" t="s">
        <v>31</v>
      </c>
      <c r="B20" t="str">
        <f>IFERROR(VLOOKUP(ING.ABROQUIMICOS[[#This Row],[CODIGO]],INV.AGROQUIMICOS[],2,FALSE),"NO EXISTE")</f>
        <v>Prime</v>
      </c>
      <c r="C20" s="4">
        <v>45615</v>
      </c>
      <c r="D20">
        <v>440</v>
      </c>
      <c r="E20" t="s">
        <v>181</v>
      </c>
      <c r="G20" t="s">
        <v>329</v>
      </c>
      <c r="H20" t="str">
        <f>IFERROR(VLOOKUP(ING.SEMILLA[[#This Row],[CODIGO]],SEMILLA[],2,FALSE),"NO EXISTE")</f>
        <v>SEMILLA SORGO(20Kgs) Dekalb 520</v>
      </c>
      <c r="I20" s="4">
        <v>45986</v>
      </c>
      <c r="J20">
        <v>30</v>
      </c>
      <c r="K20">
        <f>+ING.SEMILLA[[#This Row],[CANTIDAD BOLSAS]]*20</f>
        <v>600</v>
      </c>
      <c r="L20" s="29"/>
      <c r="M20" s="29">
        <f>ING.SEMILLA[[#This Row],[TOTAL KG.]]*ING.SEMILLA[[#This Row],[PRECIO KG]]</f>
        <v>0</v>
      </c>
    </row>
    <row r="21" spans="1:13" x14ac:dyDescent="0.25">
      <c r="A21" t="s">
        <v>36</v>
      </c>
      <c r="B21" t="str">
        <f>IFERROR(VLOOKUP(ING.ABROQUIMICOS[[#This Row],[CODIGO]],INV.AGROQUIMICOS[],2,FALSE),"NO EXISTE")</f>
        <v>Prado xtra</v>
      </c>
      <c r="C21" s="4">
        <v>45615</v>
      </c>
      <c r="D21">
        <v>80</v>
      </c>
      <c r="E21" t="s">
        <v>181</v>
      </c>
      <c r="G21" t="s">
        <v>518</v>
      </c>
      <c r="H21" t="str">
        <f>IFERROR(VLOOKUP(ING.SEMILLA[[#This Row],[CODIGO]],SEMILLA[],2,FALSE),"NO EXISTE")</f>
        <v>SEMILLA DE MAIZ(558,5 Kgs.) CVR</v>
      </c>
      <c r="I21" s="4">
        <v>46010</v>
      </c>
      <c r="J21">
        <v>3</v>
      </c>
      <c r="K21">
        <f>+ING.SEMILLA[[#This Row],[CANTIDAD BOLSAS]]*520</f>
        <v>1560</v>
      </c>
      <c r="L21" s="29"/>
      <c r="M21" s="29">
        <f>ING.SEMILLA[[#This Row],[TOTAL KG.]]*ING.SEMILLA[[#This Row],[PRECIO KG]]</f>
        <v>0</v>
      </c>
    </row>
    <row r="22" spans="1:13" x14ac:dyDescent="0.25">
      <c r="A22" t="s">
        <v>74</v>
      </c>
      <c r="B22" t="str">
        <f>IFERROR(VLOOKUP(ING.ABROQUIMICOS[[#This Row],[CODIGO]],INV.AGROQUIMICOS[],2,FALSE),"NO EXISTE")</f>
        <v>Pradel</v>
      </c>
      <c r="C22" s="4">
        <v>45615</v>
      </c>
      <c r="D22">
        <v>140</v>
      </c>
      <c r="E22" t="s">
        <v>181</v>
      </c>
      <c r="G22" t="s">
        <v>518</v>
      </c>
      <c r="H22" t="str">
        <f>IFERROR(VLOOKUP(ING.SEMILLA[[#This Row],[CODIGO]],SEMILLA[],2,FALSE),"NO EXISTE")</f>
        <v>SEMILLA DE MAIZ(558,5 Kgs.) CVR</v>
      </c>
      <c r="I22" s="4">
        <v>46012</v>
      </c>
      <c r="J22">
        <v>3</v>
      </c>
      <c r="K22">
        <f>+ING.SEMILLA[[#This Row],[CANTIDAD BOLSAS]]*520</f>
        <v>1560</v>
      </c>
      <c r="L22" s="29"/>
      <c r="M22" s="29">
        <f>ING.SEMILLA[[#This Row],[TOTAL KG.]]*ING.SEMILLA[[#This Row],[PRECIO KG]]</f>
        <v>0</v>
      </c>
    </row>
    <row r="23" spans="1:13" x14ac:dyDescent="0.25">
      <c r="A23" t="s">
        <v>25</v>
      </c>
      <c r="B23" t="str">
        <f>IFERROR(VLOOKUP(ING.ABROQUIMICOS[[#This Row],[CODIGO]],INV.AGROQUIMICOS[],2,FALSE),"NO EXISTE")</f>
        <v>Pqm domino</v>
      </c>
      <c r="C23" s="4">
        <v>45615</v>
      </c>
      <c r="D23">
        <v>10</v>
      </c>
      <c r="E23" t="s">
        <v>181</v>
      </c>
      <c r="G23" t="s">
        <v>474</v>
      </c>
      <c r="H23" t="str">
        <f>IFERROR(VLOOKUP(ING.SEMILLA[[#This Row],[CODIGO]],SEMILLA[],2,FALSE),"NO EXISTE")</f>
        <v>SEMILLA DE SOYA(50 Kgs.(Olimpo)</v>
      </c>
      <c r="I23" s="4">
        <v>46019</v>
      </c>
      <c r="J23">
        <v>150</v>
      </c>
      <c r="K23">
        <f>+ING.SEMILLA[[#This Row],[CANTIDAD BOLSAS]]*50</f>
        <v>7500</v>
      </c>
      <c r="L23" s="29"/>
      <c r="M23" s="29">
        <f>ING.SEMILLA[[#This Row],[TOTAL KG.]]*ING.SEMILLA[[#This Row],[PRECIO KG]]</f>
        <v>0</v>
      </c>
    </row>
    <row r="24" spans="1:13" x14ac:dyDescent="0.25">
      <c r="A24" t="s">
        <v>37</v>
      </c>
      <c r="B24" t="str">
        <f>IFERROR(VLOOKUP(ING.ABROQUIMICOS[[#This Row],[CODIGO]],INV.AGROQUIMICOS[],2,FALSE),"NO EXISTE")</f>
        <v>Power weed</v>
      </c>
      <c r="C24" s="4">
        <v>45615</v>
      </c>
      <c r="D24">
        <v>11</v>
      </c>
      <c r="E24" t="s">
        <v>181</v>
      </c>
      <c r="G24" t="s">
        <v>474</v>
      </c>
      <c r="H24" t="str">
        <f>IFERROR(VLOOKUP(ING.SEMILLA[[#This Row],[CODIGO]],SEMILLA[],2,FALSE),"NO EXISTE")</f>
        <v>SEMILLA DE SOYA(50 Kgs.(Olimpo)</v>
      </c>
      <c r="I24" s="4">
        <v>46041</v>
      </c>
      <c r="J24">
        <v>150</v>
      </c>
      <c r="K24">
        <f>+ING.SEMILLA[[#This Row],[CANTIDAD BOLSAS]]*50</f>
        <v>7500</v>
      </c>
      <c r="L24" s="29"/>
      <c r="M24" s="29">
        <f>ING.SEMILLA[[#This Row],[TOTAL KG.]]*ING.SEMILLA[[#This Row],[PRECIO KG]]</f>
        <v>0</v>
      </c>
    </row>
    <row r="25" spans="1:13" x14ac:dyDescent="0.25">
      <c r="A25" t="s">
        <v>60</v>
      </c>
      <c r="B25" t="str">
        <f>IFERROR(VLOOKUP(ING.ABROQUIMICOS[[#This Row],[CODIGO]],INV.AGROQUIMICOS[],2,FALSE),"NO EXISTE")</f>
        <v>Polarex</v>
      </c>
      <c r="C25" s="4">
        <v>45615</v>
      </c>
      <c r="D25">
        <v>18.700000000000045</v>
      </c>
      <c r="E25" t="s">
        <v>181</v>
      </c>
      <c r="G25" t="s">
        <v>292</v>
      </c>
      <c r="H25" t="str">
        <f>IFERROR(VLOOKUP(ING.SEMILLA[[#This Row],[CODIGO]],SEMILLA[],2,FALSE),"NO EXISTE")</f>
        <v>SEMILLA DE PASTO MOMBASA (20Kgs)</v>
      </c>
      <c r="I25" s="4">
        <v>46097</v>
      </c>
      <c r="J25">
        <v>51</v>
      </c>
      <c r="K25">
        <f>+ING.SEMILLA[[#This Row],[CANTIDAD BOLSAS]]*20</f>
        <v>1020</v>
      </c>
      <c r="L25" s="29"/>
      <c r="M25" s="29">
        <f>ING.SEMILLA[[#This Row],[TOTAL KG.]]*ING.SEMILLA[[#This Row],[PRECIO KG]]</f>
        <v>0</v>
      </c>
    </row>
    <row r="26" spans="1:13" x14ac:dyDescent="0.25">
      <c r="A26" t="s">
        <v>63</v>
      </c>
      <c r="B26" t="str">
        <f>IFERROR(VLOOKUP(ING.ABROQUIMICOS[[#This Row],[CODIGO]],INV.AGROQUIMICOS[],2,FALSE),"NO EXISTE")</f>
        <v>Pehuen</v>
      </c>
      <c r="C26" s="4">
        <v>45615</v>
      </c>
      <c r="D26">
        <v>20.5</v>
      </c>
      <c r="E26" t="s">
        <v>181</v>
      </c>
      <c r="G26" t="s">
        <v>477</v>
      </c>
      <c r="H26" t="str">
        <f>IFERROR(VLOOKUP(ING.SEMILLA[[#This Row],[CODIGO]],SEMILLA[],2,FALSE),"NO EXISTE")</f>
        <v>SEMILLA DE PASTO PIATA (20Kgs)</v>
      </c>
      <c r="I26" s="4">
        <v>46097</v>
      </c>
      <c r="J26">
        <v>19</v>
      </c>
      <c r="K26">
        <f>+ING.SEMILLA[[#This Row],[CANTIDAD BOLSAS]]*20</f>
        <v>380</v>
      </c>
      <c r="L26" s="29"/>
      <c r="M26" s="29">
        <f>ING.SEMILLA[[#This Row],[TOTAL KG.]]*ING.SEMILLA[[#This Row],[PRECIO KG]]</f>
        <v>0</v>
      </c>
    </row>
    <row r="27" spans="1:13" x14ac:dyDescent="0.25">
      <c r="A27" t="s">
        <v>41</v>
      </c>
      <c r="B27" t="str">
        <f>IFERROR(VLOOKUP(ING.ABROQUIMICOS[[#This Row],[CODIGO]],INV.AGROQUIMICOS[],2,FALSE),"NO EXISTE")</f>
        <v>Nifuron</v>
      </c>
      <c r="C27" s="4">
        <v>45615</v>
      </c>
      <c r="D27">
        <v>2</v>
      </c>
      <c r="E27" t="s">
        <v>181</v>
      </c>
    </row>
    <row r="28" spans="1:13" x14ac:dyDescent="0.25">
      <c r="A28" t="s">
        <v>59</v>
      </c>
      <c r="B28" t="str">
        <f>IFERROR(VLOOKUP(ING.ABROQUIMICOS[[#This Row],[CODIGO]],INV.AGROQUIMICOS[],2,FALSE),"NO EXISTE")</f>
        <v>Neger</v>
      </c>
      <c r="C28" s="4">
        <v>45615</v>
      </c>
      <c r="D28">
        <v>31.25</v>
      </c>
      <c r="E28" t="s">
        <v>181</v>
      </c>
    </row>
    <row r="29" spans="1:13" x14ac:dyDescent="0.25">
      <c r="A29" t="s">
        <v>73</v>
      </c>
      <c r="B29" t="str">
        <f>IFERROR(VLOOKUP(ING.ABROQUIMICOS[[#This Row],[CODIGO]],INV.AGROQUIMICOS[],2,FALSE),"NO EXISTE")</f>
        <v>Nebutane</v>
      </c>
      <c r="C29" s="4">
        <v>45615</v>
      </c>
      <c r="D29">
        <v>1.25</v>
      </c>
      <c r="E29" t="s">
        <v>181</v>
      </c>
    </row>
    <row r="30" spans="1:13" x14ac:dyDescent="0.25">
      <c r="A30" t="s">
        <v>51</v>
      </c>
      <c r="B30" t="str">
        <f>IFERROR(VLOOKUP(ING.ABROQUIMICOS[[#This Row],[CODIGO]],INV.AGROQUIMICOS[],2,FALSE),"NO EXISTE")</f>
        <v>Nanofos</v>
      </c>
      <c r="C30" s="4">
        <v>45615</v>
      </c>
      <c r="D30">
        <v>45</v>
      </c>
      <c r="E30" t="s">
        <v>181</v>
      </c>
    </row>
    <row r="31" spans="1:13" x14ac:dyDescent="0.25">
      <c r="A31" t="s">
        <v>38</v>
      </c>
      <c r="B31" t="str">
        <f>IFERROR(VLOOKUP(ING.ABROQUIMICOS[[#This Row],[CODIGO]],INV.AGROQUIMICOS[],2,FALSE),"NO EXISTE")</f>
        <v>Metsuron</v>
      </c>
      <c r="C31" s="4">
        <v>45615</v>
      </c>
      <c r="D31">
        <v>1.6</v>
      </c>
      <c r="E31" t="s">
        <v>181</v>
      </c>
    </row>
    <row r="32" spans="1:13" x14ac:dyDescent="0.25">
      <c r="A32" t="s">
        <v>53</v>
      </c>
      <c r="B32" t="str">
        <f>IFERROR(VLOOKUP(ING.ABROQUIMICOS[[#This Row],[CODIGO]],INV.AGROQUIMICOS[],2,FALSE),"NO EXISTE")</f>
        <v>Liberty</v>
      </c>
      <c r="C32" s="4">
        <v>45615</v>
      </c>
      <c r="D32">
        <v>4</v>
      </c>
      <c r="E32" t="s">
        <v>181</v>
      </c>
    </row>
    <row r="33" spans="1:5" x14ac:dyDescent="0.25">
      <c r="A33" t="s">
        <v>14</v>
      </c>
      <c r="B33" t="str">
        <f>IFERROR(VLOOKUP(ING.ABROQUIMICOS[[#This Row],[CODIGO]],INV.AGROQUIMICOS[],2,FALSE),"NO EXISTE")</f>
        <v>Libamin</v>
      </c>
      <c r="C33" s="4">
        <v>45615</v>
      </c>
      <c r="D33">
        <v>4.9000000000000057</v>
      </c>
      <c r="E33" t="s">
        <v>181</v>
      </c>
    </row>
    <row r="34" spans="1:5" x14ac:dyDescent="0.25">
      <c r="A34" t="s">
        <v>62</v>
      </c>
      <c r="B34" t="str">
        <f>IFERROR(VLOOKUP(ING.ABROQUIMICOS[[#This Row],[CODIGO]],INV.AGROQUIMICOS[],2,FALSE),"NO EXISTE")</f>
        <v>Larvex</v>
      </c>
      <c r="C34" s="4">
        <v>45615</v>
      </c>
      <c r="D34">
        <v>24</v>
      </c>
      <c r="E34" t="s">
        <v>181</v>
      </c>
    </row>
    <row r="35" spans="1:5" x14ac:dyDescent="0.25">
      <c r="A35" t="s">
        <v>18</v>
      </c>
      <c r="B35" t="str">
        <f>IFERROR(VLOOKUP(ING.ABROQUIMICOS[[#This Row],[CODIGO]],INV.AGROQUIMICOS[],2,FALSE),"NO EXISTE")</f>
        <v>Komus flex</v>
      </c>
      <c r="C35" s="4">
        <v>45615</v>
      </c>
      <c r="D35">
        <v>23.904999999999998</v>
      </c>
      <c r="E35" t="s">
        <v>181</v>
      </c>
    </row>
    <row r="36" spans="1:5" x14ac:dyDescent="0.25">
      <c r="A36" t="s">
        <v>50</v>
      </c>
      <c r="B36" t="str">
        <f>IFERROR(VLOOKUP(ING.ABROQUIMICOS[[#This Row],[CODIGO]],INV.AGROQUIMICOS[],2,FALSE),"NO EXISTE")</f>
        <v>Justiciero</v>
      </c>
      <c r="C36" s="4">
        <v>45615</v>
      </c>
      <c r="D36">
        <v>2.8000000000000114</v>
      </c>
      <c r="E36" t="s">
        <v>181</v>
      </c>
    </row>
    <row r="37" spans="1:5" x14ac:dyDescent="0.25">
      <c r="A37" t="s">
        <v>19</v>
      </c>
      <c r="B37" t="str">
        <f>IFERROR(VLOOKUP(ING.ABROQUIMICOS[[#This Row],[CODIGO]],INV.AGROQUIMICOS[],2,FALSE),"NO EXISTE")</f>
        <v>Jumkan</v>
      </c>
      <c r="C37" s="4">
        <v>45615</v>
      </c>
      <c r="D37">
        <v>2</v>
      </c>
      <c r="E37" t="s">
        <v>181</v>
      </c>
    </row>
    <row r="38" spans="1:5" x14ac:dyDescent="0.25">
      <c r="A38" t="s">
        <v>56</v>
      </c>
      <c r="B38" t="str">
        <f>IFERROR(VLOOKUP(ING.ABROQUIMICOS[[#This Row],[CODIGO]],INV.AGROQUIMICOS[],2,FALSE),"NO EXISTE")</f>
        <v>Joker</v>
      </c>
      <c r="C38" s="4">
        <v>45615</v>
      </c>
      <c r="D38">
        <v>20</v>
      </c>
      <c r="E38" t="s">
        <v>181</v>
      </c>
    </row>
    <row r="39" spans="1:5" x14ac:dyDescent="0.25">
      <c r="A39" t="s">
        <v>57</v>
      </c>
      <c r="B39" t="str">
        <f>IFERROR(VLOOKUP(ING.ABROQUIMICOS[[#This Row],[CODIGO]],INV.AGROQUIMICOS[],2,FALSE),"NO EXISTE")</f>
        <v xml:space="preserve">Imidap </v>
      </c>
      <c r="C39" s="4">
        <v>45615</v>
      </c>
      <c r="D39">
        <v>45</v>
      </c>
      <c r="E39" t="s">
        <v>181</v>
      </c>
    </row>
    <row r="40" spans="1:5" x14ac:dyDescent="0.25">
      <c r="A40" t="s">
        <v>32</v>
      </c>
      <c r="B40" t="str">
        <f>IFERROR(VLOOKUP(ING.ABROQUIMICOS[[#This Row],[CODIGO]],INV.AGROQUIMICOS[],2,FALSE),"NO EXISTE")</f>
        <v>Herbinale</v>
      </c>
      <c r="C40" s="4">
        <v>45615</v>
      </c>
      <c r="D40">
        <v>5.5</v>
      </c>
      <c r="E40" t="s">
        <v>181</v>
      </c>
    </row>
    <row r="41" spans="1:5" x14ac:dyDescent="0.25">
      <c r="A41" t="s">
        <v>44</v>
      </c>
      <c r="B41" t="str">
        <f>IFERROR(VLOOKUP(ING.ABROQUIMICOS[[#This Row],[CODIGO]],INV.AGROQUIMICOS[],2,FALSE),"NO EXISTE")</f>
        <v>Goliath</v>
      </c>
      <c r="C41" s="4">
        <v>45615</v>
      </c>
      <c r="D41">
        <v>15</v>
      </c>
      <c r="E41" t="s">
        <v>181</v>
      </c>
    </row>
    <row r="42" spans="1:5" x14ac:dyDescent="0.25">
      <c r="A42" t="s">
        <v>42</v>
      </c>
      <c r="B42" t="str">
        <f>IFERROR(VLOOKUP(ING.ABROQUIMICOS[[#This Row],[CODIGO]],INV.AGROQUIMICOS[],2,FALSE),"NO EXISTE")</f>
        <v>Galactic</v>
      </c>
      <c r="C42" s="4">
        <v>45615</v>
      </c>
      <c r="D42">
        <v>20</v>
      </c>
      <c r="E42" t="s">
        <v>181</v>
      </c>
    </row>
    <row r="43" spans="1:5" x14ac:dyDescent="0.25">
      <c r="A43" t="s">
        <v>13</v>
      </c>
      <c r="B43" t="str">
        <f>IFERROR(VLOOKUP(ING.ABROQUIMICOS[[#This Row],[CODIGO]],INV.AGROQUIMICOS[],2,FALSE),"NO EXISTE")</f>
        <v>Gain nitro</v>
      </c>
      <c r="C43" s="4">
        <v>45615</v>
      </c>
      <c r="D43">
        <v>220</v>
      </c>
      <c r="E43" t="s">
        <v>181</v>
      </c>
    </row>
    <row r="44" spans="1:5" x14ac:dyDescent="0.25">
      <c r="A44" t="s">
        <v>71</v>
      </c>
      <c r="B44" t="str">
        <f>IFERROR(VLOOKUP(ING.ABROQUIMICOS[[#This Row],[CODIGO]],INV.AGROQUIMICOS[],2,FALSE),"NO EXISTE")</f>
        <v>Fury 200</v>
      </c>
      <c r="C44" s="4">
        <v>45615</v>
      </c>
      <c r="D44">
        <v>32.299999999999983</v>
      </c>
      <c r="E44" t="s">
        <v>181</v>
      </c>
    </row>
    <row r="45" spans="1:5" x14ac:dyDescent="0.25">
      <c r="A45" t="s">
        <v>12</v>
      </c>
      <c r="B45" t="str">
        <f>IFERROR(VLOOKUP(ING.ABROQUIMICOS[[#This Row],[CODIGO]],INV.AGROQUIMICOS[],2,FALSE),"NO EXISTE")</f>
        <v>Fulvin</v>
      </c>
      <c r="C45" s="4">
        <v>45615</v>
      </c>
      <c r="D45">
        <v>105.5</v>
      </c>
      <c r="E45" t="s">
        <v>181</v>
      </c>
    </row>
    <row r="46" spans="1:5" x14ac:dyDescent="0.25">
      <c r="A46" t="s">
        <v>75</v>
      </c>
      <c r="B46" t="str">
        <f>IFERROR(VLOOKUP(ING.ABROQUIMICOS[[#This Row],[CODIGO]],INV.AGROQUIMICOS[],2,FALSE),"NO EXISTE")</f>
        <v>Forspray</v>
      </c>
      <c r="C46" s="4">
        <v>45615</v>
      </c>
      <c r="D46">
        <v>1.0800000000000018</v>
      </c>
      <c r="E46" t="s">
        <v>181</v>
      </c>
    </row>
    <row r="47" spans="1:5" x14ac:dyDescent="0.25">
      <c r="A47" t="s">
        <v>61</v>
      </c>
      <c r="B47" t="str">
        <f>IFERROR(VLOOKUP(ING.ABROQUIMICOS[[#This Row],[CODIGO]],INV.AGROQUIMICOS[],2,FALSE),"NO EXISTE")</f>
        <v>Flumyzin</v>
      </c>
      <c r="C47" s="4">
        <v>45615</v>
      </c>
      <c r="D47">
        <v>5.4500000000000028</v>
      </c>
      <c r="E47" t="s">
        <v>181</v>
      </c>
    </row>
    <row r="48" spans="1:5" x14ac:dyDescent="0.25">
      <c r="A48" t="s">
        <v>30</v>
      </c>
      <c r="B48" t="str">
        <f>IFERROR(VLOOKUP(ING.ABROQUIMICOS[[#This Row],[CODIGO]],INV.AGROQUIMICOS[],2,FALSE),"NO EXISTE")</f>
        <v>Dual gold</v>
      </c>
      <c r="C48" s="4">
        <v>45615</v>
      </c>
      <c r="D48">
        <v>5</v>
      </c>
      <c r="E48" t="s">
        <v>181</v>
      </c>
    </row>
    <row r="49" spans="1:5" x14ac:dyDescent="0.25">
      <c r="A49" t="s">
        <v>43</v>
      </c>
      <c r="B49" t="str">
        <f>IFERROR(VLOOKUP(ING.ABROQUIMICOS[[#This Row],[CODIGO]],INV.AGROQUIMICOS[],2,FALSE),"NO EXISTE")</f>
        <v>Defolar-s</v>
      </c>
      <c r="C49" s="4">
        <v>45615</v>
      </c>
      <c r="D49">
        <v>969.5</v>
      </c>
      <c r="E49" t="s">
        <v>181</v>
      </c>
    </row>
    <row r="50" spans="1:5" x14ac:dyDescent="0.25">
      <c r="A50" t="s">
        <v>26</v>
      </c>
      <c r="B50" t="str">
        <f>IFERROR(VLOOKUP(ING.ABROQUIMICOS[[#This Row],[CODIGO]],INV.AGROQUIMICOS[],2,FALSE),"NO EXISTE")</f>
        <v>Curative</v>
      </c>
      <c r="C50" s="4">
        <v>45615</v>
      </c>
      <c r="D50">
        <v>15</v>
      </c>
      <c r="E50" t="s">
        <v>181</v>
      </c>
    </row>
    <row r="51" spans="1:5" x14ac:dyDescent="0.25">
      <c r="A51" t="s">
        <v>49</v>
      </c>
      <c r="B51" t="str">
        <f>IFERROR(VLOOKUP(ING.ABROQUIMICOS[[#This Row],[CODIGO]],INV.AGROQUIMICOS[],2,FALSE),"NO EXISTE")</f>
        <v>Crucero plus</v>
      </c>
      <c r="C51" s="4">
        <v>45615</v>
      </c>
      <c r="D51">
        <v>3</v>
      </c>
      <c r="E51" t="s">
        <v>181</v>
      </c>
    </row>
    <row r="52" spans="1:5" x14ac:dyDescent="0.25">
      <c r="A52" t="s">
        <v>35</v>
      </c>
      <c r="B52" t="str">
        <f>IFERROR(VLOOKUP(ING.ABROQUIMICOS[[#This Row],[CODIGO]],INV.AGROQUIMICOS[],2,FALSE),"NO EXISTE")</f>
        <v xml:space="preserve">Cow boy </v>
      </c>
      <c r="C52" s="4">
        <v>45615</v>
      </c>
      <c r="D52">
        <v>85</v>
      </c>
      <c r="E52" t="s">
        <v>181</v>
      </c>
    </row>
    <row r="53" spans="1:5" x14ac:dyDescent="0.25">
      <c r="A53" t="s">
        <v>72</v>
      </c>
      <c r="B53" t="str">
        <f>IFERROR(VLOOKUP(ING.ABROQUIMICOS[[#This Row],[CODIGO]],INV.AGROQUIMICOS[],2,FALSE),"NO EXISTE")</f>
        <v>Coragen</v>
      </c>
      <c r="C53" s="4">
        <v>45615</v>
      </c>
      <c r="D53">
        <v>20.549999999999997</v>
      </c>
      <c r="E53" t="s">
        <v>181</v>
      </c>
    </row>
    <row r="54" spans="1:5" x14ac:dyDescent="0.25">
      <c r="A54" t="s">
        <v>28</v>
      </c>
      <c r="B54" t="str">
        <f>IFERROR(VLOOKUP(ING.ABROQUIMICOS[[#This Row],[CODIGO]],INV.AGROQUIMICOS[],2,FALSE),"NO EXISTE")</f>
        <v>Concert</v>
      </c>
      <c r="C54" s="4">
        <v>45615</v>
      </c>
      <c r="D54">
        <v>20</v>
      </c>
      <c r="E54" t="s">
        <v>181</v>
      </c>
    </row>
    <row r="55" spans="1:5" x14ac:dyDescent="0.25">
      <c r="A55" t="s">
        <v>58</v>
      </c>
      <c r="B55" t="str">
        <f>IFERROR(VLOOKUP(ING.ABROQUIMICOS[[#This Row],[CODIGO]],INV.AGROQUIMICOS[],2,FALSE),"NO EXISTE")</f>
        <v>Color seed</v>
      </c>
      <c r="C55" s="4">
        <v>45615</v>
      </c>
      <c r="D55">
        <v>10</v>
      </c>
      <c r="E55" t="s">
        <v>181</v>
      </c>
    </row>
    <row r="56" spans="1:5" x14ac:dyDescent="0.25">
      <c r="A56" t="s">
        <v>46</v>
      </c>
      <c r="B56" t="str">
        <f>IFERROR(VLOOKUP(ING.ABROQUIMICOS[[#This Row],[CODIGO]],INV.AGROQUIMICOS[],2,FALSE),"NO EXISTE")</f>
        <v>Clonapyr</v>
      </c>
      <c r="C56" s="4">
        <v>45615</v>
      </c>
      <c r="D56">
        <v>20</v>
      </c>
      <c r="E56" t="s">
        <v>181</v>
      </c>
    </row>
    <row r="57" spans="1:5" x14ac:dyDescent="0.25">
      <c r="A57" t="s">
        <v>40</v>
      </c>
      <c r="B57" t="str">
        <f>IFERROR(VLOOKUP(ING.ABROQUIMICOS[[#This Row],[CODIGO]],INV.AGROQUIMICOS[],2,FALSE),"NO EXISTE")</f>
        <v>Cletodinap</v>
      </c>
      <c r="C57" s="4">
        <v>45615</v>
      </c>
      <c r="D57">
        <v>8.6200000000000045</v>
      </c>
      <c r="E57" t="s">
        <v>181</v>
      </c>
    </row>
    <row r="58" spans="1:5" x14ac:dyDescent="0.25">
      <c r="A58" t="s">
        <v>66</v>
      </c>
      <c r="B58" t="str">
        <f>IFERROR(VLOOKUP(ING.ABROQUIMICOS[[#This Row],[CODIGO]],INV.AGROQUIMICOS[],2,FALSE),"NO EXISTE")</f>
        <v>Clasix</v>
      </c>
      <c r="C58" s="4">
        <v>45615</v>
      </c>
      <c r="D58">
        <v>2</v>
      </c>
      <c r="E58" t="s">
        <v>181</v>
      </c>
    </row>
    <row r="59" spans="1:5" x14ac:dyDescent="0.25">
      <c r="A59" t="s">
        <v>29</v>
      </c>
      <c r="B59" t="str">
        <f>IFERROR(VLOOKUP(ING.ABROQUIMICOS[[#This Row],[CODIGO]],INV.AGROQUIMICOS[],2,FALSE),"NO EXISTE")</f>
        <v>Carbensoy</v>
      </c>
      <c r="C59" s="4">
        <v>45615</v>
      </c>
      <c r="D59">
        <v>20</v>
      </c>
      <c r="E59" t="s">
        <v>181</v>
      </c>
    </row>
    <row r="60" spans="1:5" x14ac:dyDescent="0.25">
      <c r="A60" t="s">
        <v>34</v>
      </c>
      <c r="B60" t="str">
        <f>IFERROR(VLOOKUP(ING.ABROQUIMICOS[[#This Row],[CODIGO]],INV.AGROQUIMICOS[],2,FALSE),"NO EXISTE")</f>
        <v>Capaz</v>
      </c>
      <c r="C60" s="4">
        <v>45615</v>
      </c>
      <c r="D60">
        <v>5</v>
      </c>
      <c r="E60" t="s">
        <v>181</v>
      </c>
    </row>
    <row r="61" spans="1:5" x14ac:dyDescent="0.25">
      <c r="A61" t="s">
        <v>20</v>
      </c>
      <c r="B61" t="str">
        <f>IFERROR(VLOOKUP(ING.ABROQUIMICOS[[#This Row],[CODIGO]],INV.AGROQUIMICOS[],2,FALSE),"NO EXISTE")</f>
        <v>Bulhnova</v>
      </c>
      <c r="C61" s="4">
        <v>45615</v>
      </c>
      <c r="D61">
        <v>19</v>
      </c>
      <c r="E61" t="s">
        <v>181</v>
      </c>
    </row>
    <row r="62" spans="1:5" x14ac:dyDescent="0.25">
      <c r="A62" t="s">
        <v>48</v>
      </c>
      <c r="B62" t="str">
        <f>IFERROR(VLOOKUP(ING.ABROQUIMICOS[[#This Row],[CODIGO]],INV.AGROQUIMICOS[],2,FALSE),"NO EXISTE")</f>
        <v>Bitrin</v>
      </c>
      <c r="C62" s="4">
        <v>45615</v>
      </c>
      <c r="D62">
        <v>4</v>
      </c>
      <c r="E62" t="s">
        <v>181</v>
      </c>
    </row>
    <row r="63" spans="1:5" x14ac:dyDescent="0.25">
      <c r="A63" t="s">
        <v>64</v>
      </c>
      <c r="B63" t="str">
        <f>IFERROR(VLOOKUP(ING.ABROQUIMICOS[[#This Row],[CODIGO]],INV.AGROQUIMICOS[],2,FALSE),"NO EXISTE")</f>
        <v>Belator</v>
      </c>
      <c r="C63" s="4">
        <v>45615</v>
      </c>
      <c r="D63">
        <v>11</v>
      </c>
      <c r="E63" t="s">
        <v>181</v>
      </c>
    </row>
    <row r="64" spans="1:5" x14ac:dyDescent="0.25">
      <c r="A64" t="s">
        <v>24</v>
      </c>
      <c r="B64" t="str">
        <f>IFERROR(VLOOKUP(ING.ABROQUIMICOS[[#This Row],[CODIGO]],INV.AGROQUIMICOS[],2,FALSE),"NO EXISTE")</f>
        <v>Ardent</v>
      </c>
      <c r="C64" s="4">
        <v>45615</v>
      </c>
      <c r="D64">
        <v>35</v>
      </c>
      <c r="E64" t="s">
        <v>181</v>
      </c>
    </row>
    <row r="65" spans="1:5" x14ac:dyDescent="0.25">
      <c r="A65" t="s">
        <v>22</v>
      </c>
      <c r="B65" t="str">
        <f>IFERROR(VLOOKUP(ING.ABROQUIMICOS[[#This Row],[CODIGO]],INV.AGROQUIMICOS[],2,FALSE),"NO EXISTE")</f>
        <v xml:space="preserve">A-micsur zn </v>
      </c>
      <c r="C65" s="4">
        <v>45615</v>
      </c>
      <c r="D65">
        <v>55</v>
      </c>
      <c r="E65" t="s">
        <v>181</v>
      </c>
    </row>
    <row r="66" spans="1:5" x14ac:dyDescent="0.25">
      <c r="A66" t="s">
        <v>17</v>
      </c>
      <c r="B66" t="str">
        <f>IFERROR(VLOOKUP(ING.ABROQUIMICOS[[#This Row],[CODIGO]],INV.AGROQUIMICOS[],2,FALSE),"NO EXISTE")</f>
        <v>Albaforte</v>
      </c>
      <c r="C66" s="4">
        <v>45615</v>
      </c>
      <c r="D66">
        <v>110</v>
      </c>
      <c r="E66" t="s">
        <v>181</v>
      </c>
    </row>
    <row r="67" spans="1:5" x14ac:dyDescent="0.25">
      <c r="A67" t="s">
        <v>16</v>
      </c>
      <c r="B67" t="str">
        <f>IFERROR(VLOOKUP(ING.ABROQUIMICOS[[#This Row],[CODIGO]],INV.AGROQUIMICOS[],2,FALSE),"NO EXISTE")</f>
        <v>Acarol plus</v>
      </c>
      <c r="C67" s="4">
        <v>45615</v>
      </c>
      <c r="D67">
        <v>230</v>
      </c>
      <c r="E67" t="s">
        <v>181</v>
      </c>
    </row>
    <row r="68" spans="1:5" x14ac:dyDescent="0.25">
      <c r="A68" t="s">
        <v>21</v>
      </c>
      <c r="B68" t="str">
        <f>IFERROR(VLOOKUP(ING.ABROQUIMICOS[[#This Row],[CODIGO]],INV.AGROQUIMICOS[],2,FALSE),"NO EXISTE")</f>
        <v>4-energy</v>
      </c>
      <c r="C68" s="4">
        <v>45615</v>
      </c>
      <c r="D68">
        <v>5.4049999999999994</v>
      </c>
      <c r="E68" t="s">
        <v>181</v>
      </c>
    </row>
    <row r="69" spans="1:5" x14ac:dyDescent="0.25">
      <c r="A69" t="s">
        <v>74</v>
      </c>
      <c r="B69" t="str">
        <f>IFERROR(VLOOKUP(ING.ABROQUIMICOS[[#This Row],[CODIGO]],INV.AGROQUIMICOS[],2,FALSE),"NO EXISTE")</f>
        <v>Pradel</v>
      </c>
      <c r="C69" s="4">
        <v>45616</v>
      </c>
      <c r="D69">
        <v>600</v>
      </c>
      <c r="E69" t="s">
        <v>90</v>
      </c>
    </row>
    <row r="70" spans="1:5" x14ac:dyDescent="0.25">
      <c r="A70" t="s">
        <v>73</v>
      </c>
      <c r="B70" t="str">
        <f>IFERROR(VLOOKUP(ING.ABROQUIMICOS[[#This Row],[CODIGO]],INV.AGROQUIMICOS[],2,FALSE),"NO EXISTE")</f>
        <v>Nebutane</v>
      </c>
      <c r="C70" s="4">
        <v>45616</v>
      </c>
      <c r="D70">
        <v>15</v>
      </c>
      <c r="E70" t="s">
        <v>90</v>
      </c>
    </row>
    <row r="71" spans="1:5" x14ac:dyDescent="0.25">
      <c r="A71" t="s">
        <v>43</v>
      </c>
      <c r="B71" t="str">
        <f>IFERROR(VLOOKUP(ING.ABROQUIMICOS[[#This Row],[CODIGO]],INV.AGROQUIMICOS[],2,FALSE),"NO EXISTE")</f>
        <v>Defolar-s</v>
      </c>
      <c r="C71" s="4">
        <v>45616</v>
      </c>
      <c r="D71">
        <v>500</v>
      </c>
      <c r="E71" t="s">
        <v>89</v>
      </c>
    </row>
    <row r="72" spans="1:5" x14ac:dyDescent="0.25">
      <c r="A72" t="s">
        <v>72</v>
      </c>
      <c r="B72" t="str">
        <f>IFERROR(VLOOKUP(ING.ABROQUIMICOS[[#This Row],[CODIGO]],INV.AGROQUIMICOS[],2,FALSE),"NO EXISTE")</f>
        <v>Coragen</v>
      </c>
      <c r="C72" s="4">
        <v>45616</v>
      </c>
      <c r="D72">
        <v>12</v>
      </c>
      <c r="E72" t="s">
        <v>90</v>
      </c>
    </row>
    <row r="73" spans="1:5" x14ac:dyDescent="0.25">
      <c r="A73" t="s">
        <v>77</v>
      </c>
      <c r="B73" t="str">
        <f>IFERROR(VLOOKUP(ING.ABROQUIMICOS[[#This Row],[CODIGO]],INV.AGROQUIMICOS[],2,FALSE),"NO EXISTE")</f>
        <v>Convert</v>
      </c>
      <c r="C73" s="4">
        <v>45616</v>
      </c>
      <c r="D73">
        <v>260</v>
      </c>
      <c r="E73" t="s">
        <v>90</v>
      </c>
    </row>
    <row r="74" spans="1:5" x14ac:dyDescent="0.25">
      <c r="A74" t="s">
        <v>76</v>
      </c>
      <c r="B74" t="str">
        <f>IFERROR(VLOOKUP(ING.ABROQUIMICOS[[#This Row],[CODIGO]],INV.AGROQUIMICOS[],2,FALSE),"NO EXISTE")</f>
        <v>Akinon</v>
      </c>
      <c r="C74" s="4">
        <v>45616</v>
      </c>
      <c r="D74">
        <v>120</v>
      </c>
      <c r="E74" t="s">
        <v>90</v>
      </c>
    </row>
    <row r="75" spans="1:5" x14ac:dyDescent="0.25">
      <c r="A75" t="s">
        <v>192</v>
      </c>
      <c r="B75" t="str">
        <f>IFERROR(VLOOKUP(ING.ABROQUIMICOS[[#This Row],[CODIGO]],INV.AGROQUIMICOS[],2,FALSE),"NO EXISTE")</f>
        <v>Joker</v>
      </c>
      <c r="C75" s="4">
        <v>45629</v>
      </c>
      <c r="D75">
        <v>120</v>
      </c>
      <c r="E75" t="s">
        <v>258</v>
      </c>
    </row>
    <row r="76" spans="1:5" x14ac:dyDescent="0.25">
      <c r="A76" t="s">
        <v>28</v>
      </c>
      <c r="B76" s="3" t="str">
        <f>IFERROR(VLOOKUP(ING.ABROQUIMICOS[[#This Row],[CODIGO]],INV.AGROQUIMICOS[],2,FALSE),"NO EXISTE")</f>
        <v>Concert</v>
      </c>
      <c r="C76" s="4">
        <v>45629</v>
      </c>
      <c r="D76">
        <v>80</v>
      </c>
      <c r="E76" t="s">
        <v>258</v>
      </c>
    </row>
    <row r="77" spans="1:5" x14ac:dyDescent="0.25">
      <c r="A77" s="22" t="s">
        <v>68</v>
      </c>
      <c r="B77" s="3" t="str">
        <f>IFERROR(VLOOKUP(ING.ABROQUIMICOS[[#This Row],[CODIGO]],INV.AGROQUIMICOS[],2,FALSE),"NO EXISTE")</f>
        <v>Trump</v>
      </c>
      <c r="C77" s="4">
        <v>45639</v>
      </c>
      <c r="D77">
        <v>12</v>
      </c>
      <c r="E77" t="s">
        <v>268</v>
      </c>
    </row>
    <row r="78" spans="1:5" x14ac:dyDescent="0.25">
      <c r="A78" s="22" t="s">
        <v>262</v>
      </c>
      <c r="B78" s="3" t="str">
        <f>IFERROR(VLOOKUP(ING.ABROQUIMICOS[[#This Row],[CODIGO]],INV.AGROQUIMICOS[],2,FALSE),"NO EXISTE")</f>
        <v>Terrano Ultra</v>
      </c>
      <c r="C78" s="4">
        <v>45639</v>
      </c>
      <c r="D78">
        <v>200</v>
      </c>
      <c r="E78" t="s">
        <v>90</v>
      </c>
    </row>
    <row r="79" spans="1:5" x14ac:dyDescent="0.25">
      <c r="A79" s="22" t="s">
        <v>263</v>
      </c>
      <c r="B79" s="3" t="str">
        <f>IFERROR(VLOOKUP(ING.ABROQUIMICOS[[#This Row],[CODIGO]],INV.AGROQUIMICOS[],2,FALSE),"NO EXISTE")</f>
        <v>Portento</v>
      </c>
      <c r="C79" s="4">
        <v>45639</v>
      </c>
      <c r="D79">
        <v>120</v>
      </c>
      <c r="E79" t="s">
        <v>90</v>
      </c>
    </row>
    <row r="80" spans="1:5" x14ac:dyDescent="0.25">
      <c r="A80" s="22" t="s">
        <v>18</v>
      </c>
      <c r="B80" s="3" t="str">
        <f>IFERROR(VLOOKUP(ING.ABROQUIMICOS[[#This Row],[CODIGO]],INV.AGROQUIMICOS[],2,FALSE),"NO EXISTE")</f>
        <v>Komus flex</v>
      </c>
      <c r="C80" s="4">
        <v>45639</v>
      </c>
      <c r="D80">
        <v>36</v>
      </c>
      <c r="E80" t="s">
        <v>268</v>
      </c>
    </row>
    <row r="81" spans="1:5" x14ac:dyDescent="0.25">
      <c r="A81" s="22" t="s">
        <v>71</v>
      </c>
      <c r="B81" s="3" t="str">
        <f>IFERROR(VLOOKUP(ING.ABROQUIMICOS[[#This Row],[CODIGO]],INV.AGROQUIMICOS[],2,FALSE),"NO EXISTE")</f>
        <v>Fury 200</v>
      </c>
      <c r="C81" s="4">
        <v>45639</v>
      </c>
      <c r="D81">
        <v>120</v>
      </c>
      <c r="E81" t="s">
        <v>90</v>
      </c>
    </row>
    <row r="82" spans="1:5" x14ac:dyDescent="0.25">
      <c r="A82" s="23" t="s">
        <v>72</v>
      </c>
      <c r="B82" s="24" t="str">
        <f>IFERROR(VLOOKUP(ING.ABROQUIMICOS[[#This Row],[CODIGO]],INV.AGROQUIMICOS[],2,FALSE),"NO EXISTE")</f>
        <v>Coragen</v>
      </c>
      <c r="C82" s="4">
        <v>45639</v>
      </c>
      <c r="D82">
        <v>60</v>
      </c>
      <c r="E82" t="s">
        <v>90</v>
      </c>
    </row>
    <row r="83" spans="1:5" x14ac:dyDescent="0.25">
      <c r="A83" s="22" t="s">
        <v>274</v>
      </c>
      <c r="B83" s="3" t="str">
        <f>IFERROR(VLOOKUP(ING.ABROQUIMICOS[[#This Row],[CODIGO]],INV.AGROQUIMICOS[],2,FALSE),"NO EXISTE")</f>
        <v>Urea</v>
      </c>
      <c r="C83" s="46">
        <v>45645</v>
      </c>
      <c r="D83" s="3">
        <v>45000</v>
      </c>
      <c r="E83" s="47" t="s">
        <v>275</v>
      </c>
    </row>
    <row r="84" spans="1:5" x14ac:dyDescent="0.25">
      <c r="A84" s="22" t="s">
        <v>262</v>
      </c>
      <c r="B84" s="3" t="str">
        <f>IFERROR(VLOOKUP(ING.ABROQUIMICOS[[#This Row],[CODIGO]],INV.AGROQUIMICOS[],2,FALSE),"NO EXISTE")</f>
        <v>Terrano Ultra</v>
      </c>
      <c r="C84" s="46">
        <v>45650</v>
      </c>
      <c r="D84" s="3">
        <v>200</v>
      </c>
      <c r="E84" s="47" t="s">
        <v>90</v>
      </c>
    </row>
    <row r="85" spans="1:5" x14ac:dyDescent="0.25">
      <c r="A85" s="22" t="s">
        <v>74</v>
      </c>
      <c r="B85" s="3" t="str">
        <f>IFERROR(VLOOKUP(ING.ABROQUIMICOS[[#This Row],[CODIGO]],INV.AGROQUIMICOS[],2,FALSE),"NO EXISTE")</f>
        <v>Pradel</v>
      </c>
      <c r="C85" s="46">
        <v>45650</v>
      </c>
      <c r="D85" s="3">
        <v>100</v>
      </c>
      <c r="E85" s="47" t="s">
        <v>90</v>
      </c>
    </row>
    <row r="86" spans="1:5" x14ac:dyDescent="0.25">
      <c r="A86" s="22" t="s">
        <v>263</v>
      </c>
      <c r="B86" s="3" t="str">
        <f>IFERROR(VLOOKUP(ING.ABROQUIMICOS[[#This Row],[CODIGO]],INV.AGROQUIMICOS[],2,FALSE),"NO EXISTE")</f>
        <v>Portento</v>
      </c>
      <c r="C86" s="46">
        <v>45650</v>
      </c>
      <c r="D86" s="3">
        <v>120</v>
      </c>
      <c r="E86" s="47" t="s">
        <v>90</v>
      </c>
    </row>
    <row r="87" spans="1:5" x14ac:dyDescent="0.25">
      <c r="A87" s="22" t="s">
        <v>71</v>
      </c>
      <c r="B87" s="3" t="str">
        <f>IFERROR(VLOOKUP(ING.ABROQUIMICOS[[#This Row],[CODIGO]],INV.AGROQUIMICOS[],2,FALSE),"NO EXISTE")</f>
        <v>Fury 200</v>
      </c>
      <c r="C87" s="46">
        <v>45650</v>
      </c>
      <c r="D87" s="3">
        <v>100</v>
      </c>
      <c r="E87" s="47" t="s">
        <v>90</v>
      </c>
    </row>
    <row r="88" spans="1:5" x14ac:dyDescent="0.25">
      <c r="A88" s="22" t="s">
        <v>72</v>
      </c>
      <c r="B88" s="3" t="str">
        <f>IFERROR(VLOOKUP(ING.ABROQUIMICOS[[#This Row],[CODIGO]],INV.AGROQUIMICOS[],2,FALSE),"NO EXISTE")</f>
        <v>Coragen</v>
      </c>
      <c r="C88" s="46">
        <v>45650</v>
      </c>
      <c r="D88" s="3">
        <v>40</v>
      </c>
      <c r="E88" s="47" t="s">
        <v>90</v>
      </c>
    </row>
    <row r="89" spans="1:5" x14ac:dyDescent="0.25">
      <c r="A89" s="22" t="s">
        <v>77</v>
      </c>
      <c r="B89" s="3" t="str">
        <f>IFERROR(VLOOKUP(ING.ABROQUIMICOS[[#This Row],[CODIGO]],INV.AGROQUIMICOS[],2,FALSE),"NO EXISTE")</f>
        <v>Convert</v>
      </c>
      <c r="C89" s="46">
        <v>45650</v>
      </c>
      <c r="D89" s="3">
        <v>160</v>
      </c>
      <c r="E89" s="47" t="s">
        <v>90</v>
      </c>
    </row>
    <row r="90" spans="1:5" x14ac:dyDescent="0.25">
      <c r="A90" s="22" t="s">
        <v>14</v>
      </c>
      <c r="B90" s="3" t="str">
        <f>IFERROR(VLOOKUP(ING.ABROQUIMICOS[[#This Row],[CODIGO]],INV.AGROQUIMICOS[],2,FALSE),"NO EXISTE")</f>
        <v>Libamin</v>
      </c>
      <c r="C90" s="46">
        <v>45653</v>
      </c>
      <c r="D90" s="3">
        <v>120</v>
      </c>
      <c r="E90" s="47" t="s">
        <v>268</v>
      </c>
    </row>
    <row r="91" spans="1:5" x14ac:dyDescent="0.25">
      <c r="A91" s="22" t="s">
        <v>18</v>
      </c>
      <c r="B91" s="3" t="str">
        <f>IFERROR(VLOOKUP(ING.ABROQUIMICOS[[#This Row],[CODIGO]],INV.AGROQUIMICOS[],2,FALSE),"NO EXISTE")</f>
        <v>Komus flex</v>
      </c>
      <c r="C91" s="46">
        <v>45653</v>
      </c>
      <c r="D91" s="3">
        <v>24</v>
      </c>
      <c r="E91" s="47" t="s">
        <v>268</v>
      </c>
    </row>
    <row r="92" spans="1:5" x14ac:dyDescent="0.25">
      <c r="A92" s="23" t="s">
        <v>12</v>
      </c>
      <c r="B92" s="24" t="str">
        <f>IFERROR(VLOOKUP(ING.ABROQUIMICOS[[#This Row],[CODIGO]],INV.AGROQUIMICOS[],2,FALSE),"NO EXISTE")</f>
        <v>Fulvin</v>
      </c>
      <c r="C92" s="48">
        <v>45653</v>
      </c>
      <c r="D92" s="24">
        <v>140</v>
      </c>
      <c r="E92" s="49" t="s">
        <v>268</v>
      </c>
    </row>
    <row r="93" spans="1:5" x14ac:dyDescent="0.25">
      <c r="A93" s="22" t="s">
        <v>277</v>
      </c>
      <c r="B93" s="3" t="str">
        <f>IFERROR(VLOOKUP(ING.ABROQUIMICOS[[#This Row],[CODIGO]],INV.AGROQUIMICOS[],2,FALSE),"NO EXISTE")</f>
        <v>Vortis</v>
      </c>
      <c r="C93" s="46">
        <v>45666</v>
      </c>
      <c r="D93">
        <v>50</v>
      </c>
      <c r="E93" t="s">
        <v>287</v>
      </c>
    </row>
    <row r="94" spans="1:5" x14ac:dyDescent="0.25">
      <c r="A94" s="22" t="s">
        <v>281</v>
      </c>
      <c r="B94" s="3" t="str">
        <f>IFERROR(VLOOKUP(ING.ABROQUIMICOS[[#This Row],[CODIGO]],INV.AGROQUIMICOS[],2,FALSE),"NO EXISTE")</f>
        <v>Talisman</v>
      </c>
      <c r="C94" s="46">
        <v>45666</v>
      </c>
      <c r="D94">
        <v>75</v>
      </c>
      <c r="E94" t="s">
        <v>287</v>
      </c>
    </row>
    <row r="95" spans="1:5" x14ac:dyDescent="0.25">
      <c r="A95" s="22" t="s">
        <v>279</v>
      </c>
      <c r="B95" s="3" t="str">
        <f>IFERROR(VLOOKUP(ING.ABROQUIMICOS[[#This Row],[CODIGO]],INV.AGROQUIMICOS[],2,FALSE),"NO EXISTE")</f>
        <v>Navajo</v>
      </c>
      <c r="C95" s="46">
        <v>45666</v>
      </c>
      <c r="D95">
        <v>4.5</v>
      </c>
      <c r="E95" t="s">
        <v>287</v>
      </c>
    </row>
    <row r="96" spans="1:5" x14ac:dyDescent="0.25">
      <c r="A96" s="22" t="s">
        <v>50</v>
      </c>
      <c r="B96" s="3" t="str">
        <f>IFERROR(VLOOKUP(ING.ABROQUIMICOS[[#This Row],[CODIGO]],INV.AGROQUIMICOS[],2,FALSE),"NO EXISTE")</f>
        <v>Justiciero</v>
      </c>
      <c r="C96" s="46">
        <v>45666</v>
      </c>
      <c r="D96">
        <v>100</v>
      </c>
      <c r="E96" t="s">
        <v>287</v>
      </c>
    </row>
    <row r="97" spans="1:5" x14ac:dyDescent="0.25">
      <c r="A97" s="22" t="s">
        <v>55</v>
      </c>
      <c r="B97" s="3" t="str">
        <f>IFERROR(VLOOKUP(ING.ABROQUIMICOS[[#This Row],[CODIGO]],INV.AGROQUIMICOS[],2,FALSE),"NO EXISTE")</f>
        <v>Quintal xtra</v>
      </c>
      <c r="C97" s="46">
        <v>45677</v>
      </c>
      <c r="D97">
        <v>20</v>
      </c>
      <c r="E97" t="s">
        <v>258</v>
      </c>
    </row>
    <row r="98" spans="1:5" x14ac:dyDescent="0.25">
      <c r="A98" s="22" t="s">
        <v>68</v>
      </c>
      <c r="B98" s="3" t="str">
        <f>IFERROR(VLOOKUP(ING.ABROQUIMICOS[[#This Row],[CODIGO]],INV.AGROQUIMICOS[],2,FALSE),"NO EXISTE")</f>
        <v>Trump</v>
      </c>
      <c r="C98" s="46">
        <v>45678</v>
      </c>
      <c r="D98">
        <v>12</v>
      </c>
      <c r="E98" t="s">
        <v>268</v>
      </c>
    </row>
    <row r="99" spans="1:5" x14ac:dyDescent="0.25">
      <c r="A99" s="22" t="s">
        <v>18</v>
      </c>
      <c r="B99" s="3" t="str">
        <f>IFERROR(VLOOKUP(ING.ABROQUIMICOS[[#This Row],[CODIGO]],INV.AGROQUIMICOS[],2,FALSE),"NO EXISTE")</f>
        <v>Komus flex</v>
      </c>
      <c r="C99" s="46">
        <v>45678</v>
      </c>
      <c r="D99">
        <v>24</v>
      </c>
      <c r="E99" t="s">
        <v>268</v>
      </c>
    </row>
    <row r="100" spans="1:5" x14ac:dyDescent="0.25">
      <c r="A100" s="22" t="s">
        <v>283</v>
      </c>
      <c r="B100" s="3" t="str">
        <f>IFERROR(VLOOKUP(ING.ABROQUIMICOS[[#This Row],[CODIGO]],INV.AGROQUIMICOS[],2,FALSE),"NO EXISTE")</f>
        <v>Jisaquel</v>
      </c>
      <c r="C100" s="46">
        <v>45678</v>
      </c>
      <c r="D100">
        <v>60</v>
      </c>
      <c r="E100" t="s">
        <v>268</v>
      </c>
    </row>
    <row r="101" spans="1:5" x14ac:dyDescent="0.25">
      <c r="A101" s="22" t="s">
        <v>277</v>
      </c>
      <c r="B101" s="3" t="str">
        <f>IFERROR(VLOOKUP(ING.ABROQUIMICOS[[#This Row],[CODIGO]],INV.AGROQUIMICOS[],2,FALSE),"NO EXISTE")</f>
        <v>Vortis</v>
      </c>
      <c r="C101" s="46">
        <v>45679</v>
      </c>
      <c r="D101">
        <v>75</v>
      </c>
      <c r="E101" t="s">
        <v>287</v>
      </c>
    </row>
    <row r="102" spans="1:5" x14ac:dyDescent="0.25">
      <c r="A102" s="22" t="s">
        <v>43</v>
      </c>
      <c r="B102" s="3" t="str">
        <f>IFERROR(VLOOKUP(ING.ABROQUIMICOS[[#This Row],[CODIGO]],INV.AGROQUIMICOS[],2,FALSE),"NO EXISTE")</f>
        <v>Defolar-s</v>
      </c>
      <c r="C102" s="46">
        <v>45679</v>
      </c>
      <c r="D102">
        <v>1000</v>
      </c>
      <c r="E102" t="s">
        <v>90</v>
      </c>
    </row>
    <row r="103" spans="1:5" x14ac:dyDescent="0.25">
      <c r="A103" s="23" t="s">
        <v>285</v>
      </c>
      <c r="B103" s="24" t="str">
        <f>IFERROR(VLOOKUP(ING.ABROQUIMICOS[[#This Row],[CODIGO]],INV.AGROQUIMICOS[],2,FALSE),"NO EXISTE")</f>
        <v>Cosmo oil</v>
      </c>
      <c r="C103" s="48">
        <v>45679</v>
      </c>
      <c r="D103">
        <v>160</v>
      </c>
      <c r="E103" t="s">
        <v>287</v>
      </c>
    </row>
    <row r="104" spans="1:5" x14ac:dyDescent="0.25">
      <c r="A104" s="22" t="s">
        <v>288</v>
      </c>
      <c r="B104" s="3" t="str">
        <f>IFERROR(VLOOKUP(ING.ABROQUIMICOS[[#This Row],[CODIGO]],INV.AGROQUIMICOS[],2,FALSE),"NO EXISTE")</f>
        <v>Strobyn xtra</v>
      </c>
      <c r="C104" s="4">
        <v>45686</v>
      </c>
      <c r="D104">
        <v>65</v>
      </c>
      <c r="E104" t="s">
        <v>287</v>
      </c>
    </row>
    <row r="105" spans="1:5" x14ac:dyDescent="0.25">
      <c r="A105" s="23" t="s">
        <v>289</v>
      </c>
      <c r="B105" s="24" t="str">
        <f>IFERROR(VLOOKUP(ING.ABROQUIMICOS[[#This Row],[CODIGO]],INV.AGROQUIMICOS[],2,FALSE),"NO EXISTE")</f>
        <v>Argento</v>
      </c>
      <c r="C105" s="4">
        <v>45686</v>
      </c>
      <c r="D105">
        <v>265</v>
      </c>
      <c r="E105" t="s">
        <v>287</v>
      </c>
    </row>
    <row r="106" spans="1:5" x14ac:dyDescent="0.25">
      <c r="A106" t="s">
        <v>285</v>
      </c>
      <c r="B106" s="3" t="str">
        <f>IFERROR(VLOOKUP(ING.ABROQUIMICOS[[#This Row],[CODIGO]],INV.AGROQUIMICOS[],2,FALSE),"NO EXISTE")</f>
        <v>Cosmo oil</v>
      </c>
      <c r="C106" s="46">
        <v>45694</v>
      </c>
      <c r="D106" s="3">
        <v>100</v>
      </c>
      <c r="E106" s="47" t="s">
        <v>287</v>
      </c>
    </row>
    <row r="107" spans="1:5" x14ac:dyDescent="0.25">
      <c r="A107" s="23" t="s">
        <v>296</v>
      </c>
      <c r="B107" s="3" t="str">
        <f>IFERROR(VLOOKUP(ING.ABROQUIMICOS[[#This Row],[CODIGO]],INV.AGROQUIMICOS[],2,FALSE),"NO EXISTE")</f>
        <v>Cupro</v>
      </c>
      <c r="C107" s="46">
        <v>45699</v>
      </c>
      <c r="D107" s="3">
        <v>13</v>
      </c>
      <c r="E107" s="47" t="s">
        <v>268</v>
      </c>
    </row>
    <row r="108" spans="1:5" x14ac:dyDescent="0.25">
      <c r="A108" t="s">
        <v>298</v>
      </c>
      <c r="B108" s="24" t="str">
        <f>IFERROR(VLOOKUP(ING.ABROQUIMICOS[[#This Row],[CODIGO]],INV.AGROQUIMICOS[],2,FALSE),"NO EXISTE")</f>
        <v>Terrano Max</v>
      </c>
      <c r="C108" s="4">
        <v>45709</v>
      </c>
      <c r="D108">
        <v>1000</v>
      </c>
      <c r="E108" t="s">
        <v>90</v>
      </c>
    </row>
    <row r="109" spans="1:5" x14ac:dyDescent="0.25">
      <c r="A109" t="s">
        <v>60</v>
      </c>
      <c r="B109" s="3" t="str">
        <f>IFERROR(VLOOKUP(ING.ABROQUIMICOS[[#This Row],[CODIGO]],INV.AGROQUIMICOS[],2,FALSE),"NO EXISTE")</f>
        <v>Polarex</v>
      </c>
      <c r="C109" s="4">
        <v>45709</v>
      </c>
      <c r="D109">
        <v>250</v>
      </c>
      <c r="E109" t="s">
        <v>90</v>
      </c>
    </row>
    <row r="110" spans="1:5" x14ac:dyDescent="0.25">
      <c r="A110" t="s">
        <v>299</v>
      </c>
      <c r="B110" s="3" t="str">
        <f>IFERROR(VLOOKUP(ING.ABROQUIMICOS[[#This Row],[CODIGO]],INV.AGROQUIMICOS[],2,FALSE),"NO EXISTE")</f>
        <v>Herbamex</v>
      </c>
      <c r="C110" s="4">
        <v>45709</v>
      </c>
      <c r="D110">
        <v>360</v>
      </c>
      <c r="E110" t="s">
        <v>90</v>
      </c>
    </row>
    <row r="111" spans="1:5" x14ac:dyDescent="0.25">
      <c r="A111" t="s">
        <v>43</v>
      </c>
      <c r="B111" s="3" t="str">
        <f>IFERROR(VLOOKUP(ING.ABROQUIMICOS[[#This Row],[CODIGO]],INV.AGROQUIMICOS[],2,FALSE),"NO EXISTE")</f>
        <v>Defolar-s</v>
      </c>
      <c r="C111" s="4">
        <v>45709</v>
      </c>
      <c r="D111">
        <v>1000</v>
      </c>
      <c r="E111" t="s">
        <v>90</v>
      </c>
    </row>
    <row r="112" spans="1:5" x14ac:dyDescent="0.25">
      <c r="A112" t="s">
        <v>300</v>
      </c>
      <c r="B112" s="3" t="str">
        <f>IFERROR(VLOOKUP(ING.ABROQUIMICOS[[#This Row],[CODIGO]],INV.AGROQUIMICOS[],2,FALSE),"NO EXISTE")</f>
        <v>Galant</v>
      </c>
      <c r="C112" s="4">
        <v>45712</v>
      </c>
      <c r="D112">
        <v>45</v>
      </c>
      <c r="E112" t="s">
        <v>258</v>
      </c>
    </row>
    <row r="113" spans="1:5" x14ac:dyDescent="0.25">
      <c r="A113" t="s">
        <v>277</v>
      </c>
      <c r="B113" s="3" t="str">
        <f>IFERROR(VLOOKUP(ING.ABROQUIMICOS[[#This Row],[CODIGO]],INV.AGROQUIMICOS[],2,FALSE),"NO EXISTE")</f>
        <v>Vortis</v>
      </c>
      <c r="C113" s="4">
        <v>45713</v>
      </c>
      <c r="D113">
        <v>25</v>
      </c>
      <c r="E113" t="s">
        <v>287</v>
      </c>
    </row>
    <row r="114" spans="1:5" x14ac:dyDescent="0.25">
      <c r="A114" t="s">
        <v>71</v>
      </c>
      <c r="B114" s="3" t="str">
        <f>IFERROR(VLOOKUP(ING.ABROQUIMICOS[[#This Row],[CODIGO]],INV.AGROQUIMICOS[],2,FALSE),"NO EXISTE")</f>
        <v>Fury 200</v>
      </c>
      <c r="C114" s="4">
        <v>45713</v>
      </c>
      <c r="D114">
        <v>25</v>
      </c>
      <c r="E114" t="s">
        <v>287</v>
      </c>
    </row>
    <row r="115" spans="1:5" x14ac:dyDescent="0.25">
      <c r="A115" s="23" t="s">
        <v>320</v>
      </c>
      <c r="B115" s="24" t="str">
        <f>IFERROR(VLOOKUP(ING.ABROQUIMICOS[[#This Row],[CODIGO]],INV.AGROQUIMICOS[],2,FALSE),"NO EXISTE")</f>
        <v>Rhinox</v>
      </c>
      <c r="C115" s="48">
        <v>45716</v>
      </c>
      <c r="D115" s="24">
        <v>10</v>
      </c>
      <c r="E115" s="49" t="s">
        <v>328</v>
      </c>
    </row>
    <row r="116" spans="1:5" x14ac:dyDescent="0.25">
      <c r="A116" s="23" t="s">
        <v>319</v>
      </c>
      <c r="B116" s="24" t="str">
        <f>IFERROR(VLOOKUP(ING.ABROQUIMICOS[[#This Row],[CODIGO]],INV.AGROQUIMICOS[],2,FALSE),"NO EXISTE")</f>
        <v>Power seed</v>
      </c>
      <c r="C116" s="48">
        <v>45716</v>
      </c>
      <c r="D116" s="24">
        <v>45</v>
      </c>
      <c r="E116" s="49" t="s">
        <v>328</v>
      </c>
    </row>
    <row r="117" spans="1:5" x14ac:dyDescent="0.25">
      <c r="A117" s="23" t="s">
        <v>318</v>
      </c>
      <c r="B117" s="24" t="str">
        <f>IFERROR(VLOOKUP(ING.ABROQUIMICOS[[#This Row],[CODIGO]],INV.AGROQUIMICOS[],2,FALSE),"NO EXISTE")</f>
        <v>Lambda</v>
      </c>
      <c r="C117" s="48">
        <v>45716</v>
      </c>
      <c r="D117" s="24">
        <v>160</v>
      </c>
      <c r="E117" s="49" t="s">
        <v>328</v>
      </c>
    </row>
    <row r="118" spans="1:5" x14ac:dyDescent="0.25">
      <c r="A118" s="23" t="s">
        <v>317</v>
      </c>
      <c r="B118" s="24" t="str">
        <f>IFERROR(VLOOKUP(ING.ABROQUIMICOS[[#This Row],[CODIGO]],INV.AGROQUIMICOS[],2,FALSE),"NO EXISTE")</f>
        <v>Herbamine</v>
      </c>
      <c r="C118" s="48">
        <v>45716</v>
      </c>
      <c r="D118" s="24">
        <v>220</v>
      </c>
      <c r="E118" s="49" t="s">
        <v>328</v>
      </c>
    </row>
    <row r="119" spans="1:5" x14ac:dyDescent="0.25">
      <c r="A119" t="s">
        <v>68</v>
      </c>
      <c r="B119" s="3" t="str">
        <f>IFERROR(VLOOKUP(ING.ABROQUIMICOS[[#This Row],[CODIGO]],INV.AGROQUIMICOS[],2,FALSE),"NO EXISTE")</f>
        <v>Trump</v>
      </c>
      <c r="C119" s="46">
        <v>45727</v>
      </c>
      <c r="D119" s="3">
        <v>36</v>
      </c>
      <c r="E119" t="s">
        <v>268</v>
      </c>
    </row>
    <row r="120" spans="1:5" x14ac:dyDescent="0.25">
      <c r="A120" t="s">
        <v>18</v>
      </c>
      <c r="B120" s="3" t="str">
        <f>IFERROR(VLOOKUP(ING.ABROQUIMICOS[[#This Row],[CODIGO]],INV.AGROQUIMICOS[],2,FALSE),"NO EXISTE")</f>
        <v>Komus flex</v>
      </c>
      <c r="C120" s="46">
        <v>45727</v>
      </c>
      <c r="D120" s="3">
        <v>24</v>
      </c>
      <c r="E120" t="s">
        <v>268</v>
      </c>
    </row>
    <row r="121" spans="1:5" x14ac:dyDescent="0.25">
      <c r="A121" t="s">
        <v>274</v>
      </c>
      <c r="B121" s="3" t="str">
        <f>IFERROR(VLOOKUP(ING.ABROQUIMICOS[[#This Row],[CODIGO]],INV.AGROQUIMICOS[],2,FALSE),"NO EXISTE")</f>
        <v>Urea</v>
      </c>
      <c r="C121" s="46">
        <v>45731</v>
      </c>
      <c r="D121" s="3">
        <v>56000</v>
      </c>
      <c r="E121" s="47" t="s">
        <v>275</v>
      </c>
    </row>
    <row r="122" spans="1:5" x14ac:dyDescent="0.25">
      <c r="A122" t="s">
        <v>274</v>
      </c>
      <c r="B122" s="3" t="str">
        <f>IFERROR(VLOOKUP(ING.ABROQUIMICOS[[#This Row],[CODIGO]],INV.AGROQUIMICOS[],2,FALSE),"NO EXISTE")</f>
        <v>Urea</v>
      </c>
      <c r="C122" s="46">
        <v>45738</v>
      </c>
      <c r="D122" s="3">
        <v>56000</v>
      </c>
      <c r="E122" s="47" t="s">
        <v>275</v>
      </c>
    </row>
    <row r="123" spans="1:5" x14ac:dyDescent="0.25">
      <c r="A123" t="s">
        <v>298</v>
      </c>
      <c r="B123" s="3" t="str">
        <f>IFERROR(VLOOKUP(ING.ABROQUIMICOS[[#This Row],[CODIGO]],INV.AGROQUIMICOS[],2,FALSE),"NO EXISTE")</f>
        <v>Terrano Max</v>
      </c>
      <c r="C123" s="46">
        <v>45738</v>
      </c>
      <c r="D123" s="3">
        <v>1000</v>
      </c>
      <c r="E123" t="s">
        <v>90</v>
      </c>
    </row>
    <row r="124" spans="1:5" x14ac:dyDescent="0.25">
      <c r="A124" t="s">
        <v>43</v>
      </c>
      <c r="B124" s="24" t="str">
        <f>IFERROR(VLOOKUP(ING.ABROQUIMICOS[[#This Row],[CODIGO]],INV.AGROQUIMICOS[],2,FALSE),"NO EXISTE")</f>
        <v>Defolar-s</v>
      </c>
      <c r="C124" s="48">
        <v>45738</v>
      </c>
      <c r="D124" s="24">
        <v>1000</v>
      </c>
      <c r="E124" t="s">
        <v>90</v>
      </c>
    </row>
    <row r="125" spans="1:5" x14ac:dyDescent="0.25">
      <c r="A125" s="23" t="s">
        <v>320</v>
      </c>
      <c r="B125" s="24" t="str">
        <f>IFERROR(VLOOKUP(ING.ABROQUIMICOS[[#This Row],[CODIGO]],INV.AGROQUIMICOS[],2,FALSE),"NO EXISTE")</f>
        <v>Rhinox</v>
      </c>
      <c r="C125" s="48">
        <v>45753</v>
      </c>
      <c r="D125" s="24">
        <v>12</v>
      </c>
      <c r="E125" s="49" t="s">
        <v>328</v>
      </c>
    </row>
    <row r="126" spans="1:5" x14ac:dyDescent="0.25">
      <c r="A126" s="23" t="s">
        <v>74</v>
      </c>
      <c r="B126" s="24" t="str">
        <f>IFERROR(VLOOKUP(ING.ABROQUIMICOS[[#This Row],[CODIGO]],INV.AGROQUIMICOS[],2,FALSE),"NO EXISTE")</f>
        <v>Pradel</v>
      </c>
      <c r="C126" s="48">
        <v>45753</v>
      </c>
      <c r="D126" s="24">
        <v>30</v>
      </c>
      <c r="E126" s="49" t="s">
        <v>340</v>
      </c>
    </row>
    <row r="127" spans="1:5" x14ac:dyDescent="0.25">
      <c r="A127" s="23" t="s">
        <v>319</v>
      </c>
      <c r="B127" s="24" t="str">
        <f>IFERROR(VLOOKUP(ING.ABROQUIMICOS[[#This Row],[CODIGO]],INV.AGROQUIMICOS[],2,FALSE),"NO EXISTE")</f>
        <v>Power seed</v>
      </c>
      <c r="C127" s="48">
        <v>45753</v>
      </c>
      <c r="D127" s="24">
        <v>60</v>
      </c>
      <c r="E127" s="49" t="s">
        <v>328</v>
      </c>
    </row>
    <row r="128" spans="1:5" x14ac:dyDescent="0.25">
      <c r="A128" s="22" t="s">
        <v>320</v>
      </c>
      <c r="B128" s="3" t="str">
        <f>IFERROR(VLOOKUP(ING.ABROQUIMICOS[[#This Row],[CODIGO]],INV.AGROQUIMICOS[],2,FALSE),"NO EXISTE")</f>
        <v>Rhinox</v>
      </c>
      <c r="C128" s="46">
        <v>45763</v>
      </c>
      <c r="D128" s="3">
        <v>120</v>
      </c>
      <c r="E128" s="49" t="s">
        <v>328</v>
      </c>
    </row>
    <row r="129" spans="1:5" x14ac:dyDescent="0.25">
      <c r="A129" s="23" t="s">
        <v>344</v>
      </c>
      <c r="B129" s="24" t="str">
        <f>IFERROR(VLOOKUP(ING.ABROQUIMICOS[[#This Row],[CODIGO]],INV.AGROQUIMICOS[],2,FALSE),"NO EXISTE")</f>
        <v>Karate zeon</v>
      </c>
      <c r="C129" s="46">
        <v>45763</v>
      </c>
      <c r="D129" s="24">
        <v>30</v>
      </c>
      <c r="E129" s="49" t="s">
        <v>287</v>
      </c>
    </row>
    <row r="130" spans="1:5" x14ac:dyDescent="0.25">
      <c r="A130" t="s">
        <v>277</v>
      </c>
      <c r="B130" s="24" t="str">
        <f>IFERROR(VLOOKUP(ING.ABROQUIMICOS[[#This Row],[CODIGO]],INV.AGROQUIMICOS[],2,FALSE),"NO EXISTE")</f>
        <v>Vortis</v>
      </c>
      <c r="C130" s="4">
        <v>45773</v>
      </c>
      <c r="D130" s="24">
        <v>150</v>
      </c>
      <c r="E130" t="s">
        <v>287</v>
      </c>
    </row>
    <row r="131" spans="1:5" x14ac:dyDescent="0.25">
      <c r="A131" t="s">
        <v>349</v>
      </c>
      <c r="B131" s="3" t="str">
        <f>IFERROR(VLOOKUP(ING.ABROQUIMICOS[[#This Row],[CODIGO]],INV.AGROQUIMICOS[],2,FALSE),"NO EXISTE")</f>
        <v>Valent</v>
      </c>
      <c r="C131" s="4">
        <v>45773</v>
      </c>
      <c r="D131" s="3">
        <v>240</v>
      </c>
      <c r="E131" t="s">
        <v>287</v>
      </c>
    </row>
    <row r="132" spans="1:5" x14ac:dyDescent="0.25">
      <c r="A132" t="s">
        <v>347</v>
      </c>
      <c r="B132" s="3" t="str">
        <f>IFERROR(VLOOKUP(ING.ABROQUIMICOS[[#This Row],[CODIGO]],INV.AGROQUIMICOS[],2,FALSE),"NO EXISTE")</f>
        <v>Terrazina</v>
      </c>
      <c r="C132" s="4">
        <v>45773</v>
      </c>
      <c r="D132" s="3">
        <v>2040</v>
      </c>
      <c r="E132" t="s">
        <v>328</v>
      </c>
    </row>
    <row r="133" spans="1:5" x14ac:dyDescent="0.25">
      <c r="A133" t="s">
        <v>350</v>
      </c>
      <c r="B133" s="3" t="str">
        <f>IFERROR(VLOOKUP(ING.ABROQUIMICOS[[#This Row],[CODIGO]],INV.AGROQUIMICOS[],2,FALSE),"NO EXISTE")</f>
        <v>Presea plus</v>
      </c>
      <c r="C133" s="4">
        <v>45773</v>
      </c>
      <c r="D133" s="3">
        <v>100</v>
      </c>
      <c r="E133" t="s">
        <v>287</v>
      </c>
    </row>
    <row r="134" spans="1:5" x14ac:dyDescent="0.25">
      <c r="A134" t="s">
        <v>50</v>
      </c>
      <c r="B134" s="3" t="str">
        <f>IFERROR(VLOOKUP(ING.ABROQUIMICOS[[#This Row],[CODIGO]],INV.AGROQUIMICOS[],2,FALSE),"NO EXISTE")</f>
        <v>Justiciero</v>
      </c>
      <c r="C134" s="4">
        <v>45773</v>
      </c>
      <c r="D134" s="3">
        <v>350</v>
      </c>
      <c r="E134" t="s">
        <v>287</v>
      </c>
    </row>
    <row r="135" spans="1:5" x14ac:dyDescent="0.25">
      <c r="A135" t="s">
        <v>348</v>
      </c>
      <c r="B135" s="3" t="str">
        <f>IFERROR(VLOOKUP(ING.ABROQUIMICOS[[#This Row],[CODIGO]],INV.AGROQUIMICOS[],2,FALSE),"NO EXISTE")</f>
        <v>Dinotop</v>
      </c>
      <c r="C135" s="4">
        <v>45773</v>
      </c>
      <c r="D135" s="3">
        <v>50</v>
      </c>
      <c r="E135" t="s">
        <v>287</v>
      </c>
    </row>
    <row r="136" spans="1:5" x14ac:dyDescent="0.25">
      <c r="A136" t="s">
        <v>351</v>
      </c>
      <c r="B136" s="3" t="str">
        <f>IFERROR(VLOOKUP(ING.ABROQUIMICOS[[#This Row],[CODIGO]],INV.AGROQUIMICOS[],2,FALSE),"NO EXISTE")</f>
        <v>Corsair</v>
      </c>
      <c r="C136" s="4">
        <v>45779</v>
      </c>
      <c r="D136" s="3">
        <v>4</v>
      </c>
      <c r="E136" t="s">
        <v>268</v>
      </c>
    </row>
    <row r="137" spans="1:5" x14ac:dyDescent="0.25">
      <c r="A137" t="s">
        <v>68</v>
      </c>
      <c r="B137" s="3" t="str">
        <f>IFERROR(VLOOKUP(ING.ABROQUIMICOS[[#This Row],[CODIGO]],INV.AGROQUIMICOS[],2,FALSE),"NO EXISTE")</f>
        <v>Trump</v>
      </c>
      <c r="C137" s="4">
        <v>45784</v>
      </c>
      <c r="D137" s="3">
        <v>24</v>
      </c>
      <c r="E137" t="s">
        <v>268</v>
      </c>
    </row>
    <row r="138" spans="1:5" x14ac:dyDescent="0.25">
      <c r="A138" t="s">
        <v>18</v>
      </c>
      <c r="B138" s="3" t="str">
        <f>IFERROR(VLOOKUP(ING.ABROQUIMICOS[[#This Row],[CODIGO]],INV.AGROQUIMICOS[],2,FALSE),"NO EXISTE")</f>
        <v>Komus flex</v>
      </c>
      <c r="C138" s="46">
        <v>45784</v>
      </c>
      <c r="D138" s="3">
        <v>24</v>
      </c>
      <c r="E138" t="s">
        <v>268</v>
      </c>
    </row>
    <row r="139" spans="1:5" x14ac:dyDescent="0.25">
      <c r="A139" t="s">
        <v>12</v>
      </c>
      <c r="B139" s="3" t="str">
        <f>IFERROR(VLOOKUP(ING.ABROQUIMICOS[[#This Row],[CODIGO]],INV.AGROQUIMICOS[],2,FALSE),"NO EXISTE")</f>
        <v>Fulvin</v>
      </c>
      <c r="C139" s="46">
        <v>45784</v>
      </c>
      <c r="D139" s="3">
        <v>240</v>
      </c>
      <c r="E139" t="s">
        <v>268</v>
      </c>
    </row>
    <row r="140" spans="1:5" x14ac:dyDescent="0.25">
      <c r="A140" s="58" t="s">
        <v>361</v>
      </c>
      <c r="B140" s="24" t="str">
        <f>IFERROR(VLOOKUP(ING.ABROQUIMICOS[[#This Row],[CODIGO]],INV.AGROQUIMICOS[],2,FALSE),"NO EXISTE")</f>
        <v>Selecron</v>
      </c>
      <c r="C140" s="48">
        <v>45790</v>
      </c>
      <c r="D140" s="24">
        <v>200</v>
      </c>
      <c r="E140" t="s">
        <v>287</v>
      </c>
    </row>
    <row r="141" spans="1:5" x14ac:dyDescent="0.25">
      <c r="A141" s="22" t="s">
        <v>50</v>
      </c>
      <c r="B141" s="24" t="str">
        <f>IFERROR(VLOOKUP(ING.ABROQUIMICOS[[#This Row],[CODIGO]],INV.AGROQUIMICOS[],2,FALSE),"NO EXISTE")</f>
        <v>Justiciero</v>
      </c>
      <c r="C141" s="4">
        <v>45790</v>
      </c>
      <c r="D141">
        <v>175</v>
      </c>
      <c r="E141" t="s">
        <v>287</v>
      </c>
    </row>
    <row r="142" spans="1:5" x14ac:dyDescent="0.25">
      <c r="A142" s="22" t="s">
        <v>362</v>
      </c>
      <c r="B142" s="24" t="str">
        <f>IFERROR(VLOOKUP(ING.ABROQUIMICOS[[#This Row],[CODIGO]],INV.AGROQUIMICOS[],2,FALSE),"NO EXISTE")</f>
        <v>Tebuco</v>
      </c>
      <c r="C142" s="4">
        <v>45800</v>
      </c>
      <c r="D142">
        <v>290</v>
      </c>
      <c r="E142" t="s">
        <v>367</v>
      </c>
    </row>
    <row r="143" spans="1:5" x14ac:dyDescent="0.25">
      <c r="A143" s="59" t="s">
        <v>320</v>
      </c>
      <c r="B143" s="24" t="str">
        <f>IFERROR(VLOOKUP(ING.ABROQUIMICOS[[#This Row],[CODIGO]],INV.AGROQUIMICOS[],2,FALSE),"NO EXISTE")</f>
        <v>Rhinox</v>
      </c>
      <c r="C143" s="4">
        <v>45807</v>
      </c>
      <c r="D143">
        <v>100</v>
      </c>
      <c r="E143" t="s">
        <v>328</v>
      </c>
    </row>
    <row r="144" spans="1:5" x14ac:dyDescent="0.25">
      <c r="A144" s="23" t="s">
        <v>368</v>
      </c>
      <c r="B144" s="24" t="str">
        <f>IFERROR(VLOOKUP(ING.ABROQUIMICOS[[#This Row],[CODIGO]],INV.AGROQUIMICOS[],2,FALSE),"NO EXISTE")</f>
        <v>Secaforte</v>
      </c>
      <c r="C144" s="48">
        <v>45834</v>
      </c>
      <c r="D144" s="24">
        <v>3000</v>
      </c>
      <c r="E144" s="49" t="s">
        <v>258</v>
      </c>
    </row>
    <row r="145" spans="1:5" x14ac:dyDescent="0.25">
      <c r="A145" t="s">
        <v>68</v>
      </c>
      <c r="B145" s="24" t="str">
        <f>IFERROR(VLOOKUP(ING.ABROQUIMICOS[[#This Row],[CODIGO]],INV.AGROQUIMICOS[],2,FALSE),"NO EXISTE")</f>
        <v>Trump</v>
      </c>
      <c r="C145" s="4">
        <v>45863</v>
      </c>
      <c r="D145">
        <v>24</v>
      </c>
      <c r="E145" t="s">
        <v>268</v>
      </c>
    </row>
    <row r="146" spans="1:5" x14ac:dyDescent="0.25">
      <c r="A146" t="s">
        <v>373</v>
      </c>
      <c r="B146" s="3" t="str">
        <f>IFERROR(VLOOKUP(ING.ABROQUIMICOS[[#This Row],[CODIGO]],INV.AGROQUIMICOS[],2,FALSE),"NO EXISTE")</f>
        <v>superamix</v>
      </c>
      <c r="C146" s="4">
        <v>45863</v>
      </c>
      <c r="D146">
        <v>200</v>
      </c>
      <c r="E146" t="s">
        <v>287</v>
      </c>
    </row>
    <row r="147" spans="1:5" x14ac:dyDescent="0.25">
      <c r="A147" t="s">
        <v>372</v>
      </c>
      <c r="B147" s="3" t="str">
        <f>IFERROR(VLOOKUP(ING.ABROQUIMICOS[[#This Row],[CODIGO]],INV.AGROQUIMICOS[],2,FALSE),"NO EXISTE")</f>
        <v>Spider</v>
      </c>
      <c r="C147" s="4">
        <v>45863</v>
      </c>
      <c r="D147">
        <v>7.5</v>
      </c>
      <c r="E147" t="s">
        <v>393</v>
      </c>
    </row>
    <row r="148" spans="1:5" x14ac:dyDescent="0.25">
      <c r="A148" t="s">
        <v>375</v>
      </c>
      <c r="B148" s="3" t="str">
        <f>IFERROR(VLOOKUP(ING.ABROQUIMICOS[[#This Row],[CODIGO]],INV.AGROQUIMICOS[],2,FALSE),"NO EXISTE")</f>
        <v>phospro</v>
      </c>
      <c r="C148" s="4">
        <v>45863</v>
      </c>
      <c r="D148">
        <v>19.5</v>
      </c>
      <c r="E148" t="s">
        <v>268</v>
      </c>
    </row>
    <row r="149" spans="1:5" x14ac:dyDescent="0.25">
      <c r="A149" t="s">
        <v>18</v>
      </c>
      <c r="B149" s="3" t="str">
        <f>IFERROR(VLOOKUP(ING.ABROQUIMICOS[[#This Row],[CODIGO]],INV.AGROQUIMICOS[],2,FALSE),"NO EXISTE")</f>
        <v>Komus flex</v>
      </c>
      <c r="C149" s="4">
        <v>45863</v>
      </c>
      <c r="D149">
        <v>24</v>
      </c>
      <c r="E149" t="s">
        <v>268</v>
      </c>
    </row>
    <row r="150" spans="1:5" x14ac:dyDescent="0.25">
      <c r="A150" t="s">
        <v>371</v>
      </c>
      <c r="B150" s="3" t="str">
        <f>IFERROR(VLOOKUP(ING.ABROQUIMICOS[[#This Row],[CODIGO]],INV.AGROQUIMICOS[],2,FALSE),"NO EXISTE")</f>
        <v>Herbinale</v>
      </c>
      <c r="C150" s="4">
        <v>45863</v>
      </c>
      <c r="D150">
        <v>620</v>
      </c>
      <c r="E150" t="s">
        <v>287</v>
      </c>
    </row>
    <row r="151" spans="1:5" x14ac:dyDescent="0.25">
      <c r="A151" t="s">
        <v>71</v>
      </c>
      <c r="B151" s="3" t="str">
        <f>IFERROR(VLOOKUP(ING.ABROQUIMICOS[[#This Row],[CODIGO]],INV.AGROQUIMICOS[],2,FALSE),"NO EXISTE")</f>
        <v>Fury 200</v>
      </c>
      <c r="C151" s="4">
        <v>45863</v>
      </c>
      <c r="D151">
        <v>50</v>
      </c>
      <c r="E151" t="s">
        <v>287</v>
      </c>
    </row>
    <row r="152" spans="1:5" x14ac:dyDescent="0.25">
      <c r="A152" t="s">
        <v>376</v>
      </c>
      <c r="B152" s="3" t="str">
        <f>IFERROR(VLOOKUP(ING.ABROQUIMICOS[[#This Row],[CODIGO]],INV.AGROQUIMICOS[],2,FALSE),"NO EXISTE")</f>
        <v>bio gain</v>
      </c>
      <c r="C152" s="4">
        <v>45863</v>
      </c>
      <c r="D152">
        <v>19</v>
      </c>
      <c r="E152" t="s">
        <v>268</v>
      </c>
    </row>
    <row r="153" spans="1:5" x14ac:dyDescent="0.25">
      <c r="A153" t="s">
        <v>64</v>
      </c>
      <c r="B153" s="3" t="str">
        <f>IFERROR(VLOOKUP(ING.ABROQUIMICOS[[#This Row],[CODIGO]],INV.AGROQUIMICOS[],2,FALSE),"NO EXISTE")</f>
        <v>Belator</v>
      </c>
      <c r="C153" s="4">
        <v>45863</v>
      </c>
      <c r="D153">
        <v>19</v>
      </c>
      <c r="E153" t="s">
        <v>268</v>
      </c>
    </row>
    <row r="154" spans="1:5" x14ac:dyDescent="0.25">
      <c r="A154" t="s">
        <v>374</v>
      </c>
      <c r="B154" s="3" t="str">
        <f>IFERROR(VLOOKUP(ING.ABROQUIMICOS[[#This Row],[CODIGO]],INV.AGROQUIMICOS[],2,FALSE),"NO EXISTE")</f>
        <v>azos</v>
      </c>
      <c r="C154" s="4">
        <v>45863</v>
      </c>
      <c r="D154">
        <v>19.5</v>
      </c>
      <c r="E154" t="s">
        <v>268</v>
      </c>
    </row>
    <row r="155" spans="1:5" x14ac:dyDescent="0.25">
      <c r="A155" t="s">
        <v>319</v>
      </c>
      <c r="B155" s="3" t="str">
        <f>IFERROR(VLOOKUP(ING.ABROQUIMICOS[[#This Row],[CODIGO]],INV.AGROQUIMICOS[],2,FALSE),"NO EXISTE")</f>
        <v>Power seed</v>
      </c>
      <c r="C155" s="4">
        <v>45867</v>
      </c>
      <c r="D155">
        <v>4</v>
      </c>
      <c r="E155" t="s">
        <v>328</v>
      </c>
    </row>
    <row r="156" spans="1:5" x14ac:dyDescent="0.25">
      <c r="A156" t="s">
        <v>377</v>
      </c>
      <c r="B156" s="3" t="str">
        <f>IFERROR(VLOOKUP(ING.ABROQUIMICOS[[#This Row],[CODIGO]],INV.AGROQUIMICOS[],2,FALSE),"NO EXISTE")</f>
        <v>flumio max</v>
      </c>
      <c r="C156" s="4">
        <v>45867</v>
      </c>
      <c r="D156">
        <v>45</v>
      </c>
      <c r="E156" t="s">
        <v>328</v>
      </c>
    </row>
    <row r="157" spans="1:5" x14ac:dyDescent="0.25">
      <c r="A157" s="22" t="s">
        <v>394</v>
      </c>
      <c r="B157" s="3" t="str">
        <f>IFERROR(VLOOKUP(ING.ABROQUIMICOS[[#This Row],[CODIGO]],INV.AGROQUIMICOS[],2,FALSE),"NO EXISTE")</f>
        <v>Nuprid 70</v>
      </c>
      <c r="C157" s="4">
        <v>45888</v>
      </c>
      <c r="D157">
        <v>25</v>
      </c>
      <c r="E157" t="s">
        <v>287</v>
      </c>
    </row>
    <row r="158" spans="1:5" x14ac:dyDescent="0.25">
      <c r="A158" s="23" t="s">
        <v>71</v>
      </c>
      <c r="B158" s="24" t="str">
        <f>IFERROR(VLOOKUP(ING.ABROQUIMICOS[[#This Row],[CODIGO]],INV.AGROQUIMICOS[],2,FALSE),"NO EXISTE")</f>
        <v>Fury 200</v>
      </c>
      <c r="C158" s="4">
        <v>45888</v>
      </c>
      <c r="D158">
        <v>25</v>
      </c>
      <c r="E158" t="s">
        <v>287</v>
      </c>
    </row>
    <row r="159" spans="1:5" x14ac:dyDescent="0.25">
      <c r="A159" s="23" t="s">
        <v>277</v>
      </c>
      <c r="B159" s="24" t="str">
        <f>IFERROR(VLOOKUP(ING.ABROQUIMICOS[[#This Row],[CODIGO]],INV.AGROQUIMICOS[],2,FALSE),"NO EXISTE")</f>
        <v>Vortis</v>
      </c>
      <c r="C159" s="4">
        <v>45901</v>
      </c>
      <c r="D159">
        <v>13</v>
      </c>
      <c r="E159" t="s">
        <v>287</v>
      </c>
    </row>
    <row r="160" spans="1:5" x14ac:dyDescent="0.25">
      <c r="A160" s="23" t="s">
        <v>398</v>
      </c>
      <c r="B160" s="24" t="str">
        <f>IFERROR(VLOOKUP(ING.ABROQUIMICOS[[#This Row],[CODIGO]],INV.AGROQUIMICOS[],2,FALSE),"NO EXISTE")</f>
        <v>Triadamin</v>
      </c>
      <c r="C160" s="4">
        <v>45901</v>
      </c>
      <c r="D160">
        <v>24</v>
      </c>
      <c r="E160" t="s">
        <v>287</v>
      </c>
    </row>
    <row r="161" spans="1:5" x14ac:dyDescent="0.25">
      <c r="A161" s="23" t="s">
        <v>396</v>
      </c>
      <c r="B161" s="3" t="str">
        <f>IFERROR(VLOOKUP(ING.ABROQUIMICOS[[#This Row],[CODIGO]],INV.AGROQUIMICOS[],2,FALSE),"NO EXISTE")</f>
        <v>Taurus</v>
      </c>
      <c r="C161" s="4">
        <v>45901</v>
      </c>
      <c r="D161">
        <v>7</v>
      </c>
      <c r="E161" t="s">
        <v>287</v>
      </c>
    </row>
    <row r="162" spans="1:5" x14ac:dyDescent="0.25">
      <c r="A162" s="23" t="s">
        <v>397</v>
      </c>
      <c r="B162" s="3" t="str">
        <f>IFERROR(VLOOKUP(ING.ABROQUIMICOS[[#This Row],[CODIGO]],INV.AGROQUIMICOS[],2,FALSE),"NO EXISTE")</f>
        <v>Flocrop mn</v>
      </c>
      <c r="C162" s="4">
        <v>45901</v>
      </c>
      <c r="D162">
        <v>55</v>
      </c>
      <c r="E162" t="s">
        <v>287</v>
      </c>
    </row>
    <row r="163" spans="1:5" x14ac:dyDescent="0.25">
      <c r="A163" s="22" t="s">
        <v>68</v>
      </c>
      <c r="B163" s="3" t="str">
        <f>IFERROR(VLOOKUP(ING.ABROQUIMICOS[[#This Row],[CODIGO]],INV.AGROQUIMICOS[],2,FALSE),"NO EXISTE")</f>
        <v>Trump</v>
      </c>
      <c r="C163" s="4">
        <v>45908</v>
      </c>
      <c r="D163">
        <v>24</v>
      </c>
      <c r="E163" t="s">
        <v>268</v>
      </c>
    </row>
    <row r="164" spans="1:5" x14ac:dyDescent="0.25">
      <c r="A164" s="22" t="s">
        <v>398</v>
      </c>
      <c r="B164" s="3" t="str">
        <f>IFERROR(VLOOKUP(ING.ABROQUIMICOS[[#This Row],[CODIGO]],INV.AGROQUIMICOS[],2,FALSE),"NO EXISTE")</f>
        <v>Triadamin</v>
      </c>
      <c r="C164" s="4">
        <v>45908</v>
      </c>
      <c r="D164">
        <v>63</v>
      </c>
      <c r="E164" t="s">
        <v>287</v>
      </c>
    </row>
    <row r="165" spans="1:5" x14ac:dyDescent="0.25">
      <c r="A165" s="22" t="s">
        <v>18</v>
      </c>
      <c r="B165" s="3" t="str">
        <f>IFERROR(VLOOKUP(ING.ABROQUIMICOS[[#This Row],[CODIGO]],INV.AGROQUIMICOS[],2,FALSE),"NO EXISTE")</f>
        <v>Komus flex</v>
      </c>
      <c r="C165" s="4">
        <v>45908</v>
      </c>
      <c r="D165">
        <v>24</v>
      </c>
      <c r="E165" t="s">
        <v>268</v>
      </c>
    </row>
    <row r="166" spans="1:5" x14ac:dyDescent="0.25">
      <c r="A166" s="22" t="s">
        <v>71</v>
      </c>
      <c r="B166" s="3" t="str">
        <f>IFERROR(VLOOKUP(ING.ABROQUIMICOS[[#This Row],[CODIGO]],INV.AGROQUIMICOS[],2,FALSE),"NO EXISTE")</f>
        <v>Fury 200</v>
      </c>
      <c r="C166" s="4">
        <v>45908</v>
      </c>
      <c r="D166">
        <v>20</v>
      </c>
      <c r="E166" t="s">
        <v>287</v>
      </c>
    </row>
    <row r="167" spans="1:5" x14ac:dyDescent="0.25">
      <c r="A167" s="22" t="s">
        <v>12</v>
      </c>
      <c r="B167" s="3" t="str">
        <f>IFERROR(VLOOKUP(ING.ABROQUIMICOS[[#This Row],[CODIGO]],INV.AGROQUIMICOS[],2,FALSE),"NO EXISTE")</f>
        <v>Fulvin</v>
      </c>
      <c r="C167" s="4">
        <v>45908</v>
      </c>
      <c r="D167">
        <v>180</v>
      </c>
      <c r="E167" t="s">
        <v>268</v>
      </c>
    </row>
    <row r="168" spans="1:5" x14ac:dyDescent="0.25">
      <c r="A168" s="23" t="s">
        <v>405</v>
      </c>
      <c r="B168" s="24" t="str">
        <f>IFERROR(VLOOKUP(ING.ABROQUIMICOS[[#This Row],[CODIGO]],INV.AGROQUIMICOS[],2,FALSE),"NO EXISTE")</f>
        <v>Ciplex</v>
      </c>
      <c r="C168" s="4">
        <v>45908</v>
      </c>
      <c r="D168">
        <v>43</v>
      </c>
      <c r="E168" t="s">
        <v>287</v>
      </c>
    </row>
    <row r="169" spans="1:5" x14ac:dyDescent="0.25">
      <c r="A169" t="s">
        <v>277</v>
      </c>
      <c r="B169" s="3" t="str">
        <f>IFERROR(VLOOKUP(ING.ABROQUIMICOS[[#This Row],[CODIGO]],INV.AGROQUIMICOS[],2,FALSE),"NO EXISTE")</f>
        <v>Vortis</v>
      </c>
      <c r="C169" s="46">
        <v>45918</v>
      </c>
      <c r="D169">
        <v>41</v>
      </c>
      <c r="E169" t="s">
        <v>287</v>
      </c>
    </row>
    <row r="170" spans="1:5" x14ac:dyDescent="0.25">
      <c r="A170" t="s">
        <v>408</v>
      </c>
      <c r="B170" s="3" t="str">
        <f>IFERROR(VLOOKUP(ING.ABROQUIMICOS[[#This Row],[CODIGO]],INV.AGROQUIMICOS[],2,FALSE),"NO EXISTE")</f>
        <v>Tecnup Premiun</v>
      </c>
      <c r="C170" s="46">
        <v>45918</v>
      </c>
      <c r="D170">
        <v>320</v>
      </c>
      <c r="E170" t="s">
        <v>413</v>
      </c>
    </row>
    <row r="171" spans="1:5" x14ac:dyDescent="0.25">
      <c r="A171" t="s">
        <v>71</v>
      </c>
      <c r="B171" s="3" t="str">
        <f>IFERROR(VLOOKUP(ING.ABROQUIMICOS[[#This Row],[CODIGO]],INV.AGROQUIMICOS[],2,FALSE),"NO EXISTE")</f>
        <v>Fury 200</v>
      </c>
      <c r="C171" s="46">
        <v>45918</v>
      </c>
      <c r="D171">
        <v>30</v>
      </c>
      <c r="E171" t="s">
        <v>287</v>
      </c>
    </row>
    <row r="172" spans="1:5" x14ac:dyDescent="0.25">
      <c r="A172" t="s">
        <v>409</v>
      </c>
      <c r="B172" s="3" t="str">
        <f>IFERROR(VLOOKUP(ING.ABROQUIMICOS[[#This Row],[CODIGO]],INV.AGROQUIMICOS[],2,FALSE),"NO EXISTE")</f>
        <v>Fomeflag 25</v>
      </c>
      <c r="C172" s="46">
        <v>45918</v>
      </c>
      <c r="D172">
        <v>125</v>
      </c>
      <c r="E172" t="s">
        <v>413</v>
      </c>
    </row>
    <row r="173" spans="1:5" x14ac:dyDescent="0.25">
      <c r="A173" t="s">
        <v>397</v>
      </c>
      <c r="B173" s="3" t="str">
        <f>IFERROR(VLOOKUP(ING.ABROQUIMICOS[[#This Row],[CODIGO]],INV.AGROQUIMICOS[],2,FALSE),"NO EXISTE")</f>
        <v>Flocrop mn</v>
      </c>
      <c r="C173" s="46">
        <v>45918</v>
      </c>
      <c r="D173">
        <v>40</v>
      </c>
      <c r="E173" t="s">
        <v>287</v>
      </c>
    </row>
    <row r="174" spans="1:5" x14ac:dyDescent="0.25">
      <c r="A174" t="s">
        <v>285</v>
      </c>
      <c r="B174" s="3" t="str">
        <f>IFERROR(VLOOKUP(ING.ABROQUIMICOS[[#This Row],[CODIGO]],INV.AGROQUIMICOS[],2,FALSE),"NO EXISTE")</f>
        <v>Cosmo oil</v>
      </c>
      <c r="C174" s="46">
        <v>45918</v>
      </c>
      <c r="D174">
        <v>40</v>
      </c>
      <c r="E174" t="s">
        <v>287</v>
      </c>
    </row>
    <row r="175" spans="1:5" x14ac:dyDescent="0.25">
      <c r="A175" t="s">
        <v>405</v>
      </c>
      <c r="B175" s="24" t="str">
        <f>IFERROR(VLOOKUP(ING.ABROQUIMICOS[[#This Row],[CODIGO]],INV.AGROQUIMICOS[],2,FALSE),"NO EXISTE")</f>
        <v>Ciplex</v>
      </c>
      <c r="C175" s="48">
        <v>45918</v>
      </c>
      <c r="D175" s="24">
        <v>63</v>
      </c>
      <c r="E175" t="s">
        <v>287</v>
      </c>
    </row>
    <row r="176" spans="1:5" x14ac:dyDescent="0.25">
      <c r="A176" s="22" t="s">
        <v>317</v>
      </c>
      <c r="B176" s="3" t="str">
        <f>IFERROR(VLOOKUP(ING.ABROQUIMICOS[[#This Row],[CODIGO]],INV.AGROQUIMICOS[],2,FALSE),"NO EXISTE")</f>
        <v>Herbamine</v>
      </c>
      <c r="C176" s="4">
        <v>45936</v>
      </c>
      <c r="D176">
        <v>260</v>
      </c>
      <c r="E176" t="s">
        <v>328</v>
      </c>
    </row>
    <row r="177" spans="1:5" x14ac:dyDescent="0.25">
      <c r="A177" s="22" t="s">
        <v>414</v>
      </c>
      <c r="B177" s="3" t="str">
        <f>IFERROR(VLOOKUP(ING.ABROQUIMICOS[[#This Row],[CODIGO]],INV.AGROQUIMICOS[],2,FALSE),"NO EXISTE")</f>
        <v>Glifodin max</v>
      </c>
      <c r="C177" s="4">
        <v>45936</v>
      </c>
      <c r="D177">
        <v>600</v>
      </c>
      <c r="E177" t="s">
        <v>328</v>
      </c>
    </row>
    <row r="178" spans="1:5" x14ac:dyDescent="0.25">
      <c r="A178" s="22" t="s">
        <v>415</v>
      </c>
      <c r="B178" s="3" t="str">
        <f>IFERROR(VLOOKUP(ING.ABROQUIMICOS[[#This Row],[CODIGO]],INV.AGROQUIMICOS[],2,FALSE),"NO EXISTE")</f>
        <v>Dinomax</v>
      </c>
      <c r="C178" s="4">
        <v>45936</v>
      </c>
      <c r="D178">
        <v>85</v>
      </c>
      <c r="E178" t="s">
        <v>328</v>
      </c>
    </row>
    <row r="179" spans="1:5" x14ac:dyDescent="0.25">
      <c r="A179" s="22" t="s">
        <v>54</v>
      </c>
      <c r="B179" s="3" t="str">
        <f>IFERROR(VLOOKUP(ING.ABROQUIMICOS[[#This Row],[CODIGO]],INV.AGROQUIMICOS[],2,FALSE),"NO EXISTE")</f>
        <v>Sunami</v>
      </c>
      <c r="C179" s="4">
        <v>45937</v>
      </c>
      <c r="D179">
        <v>15</v>
      </c>
      <c r="E179" t="s">
        <v>328</v>
      </c>
    </row>
    <row r="180" spans="1:5" x14ac:dyDescent="0.25">
      <c r="A180" s="22" t="s">
        <v>416</v>
      </c>
      <c r="B180" s="3" t="str">
        <f>IFERROR(VLOOKUP(ING.ABROQUIMICOS[[#This Row],[CODIGO]],INV.AGROQUIMICOS[],2,FALSE),"NO EXISTE")</f>
        <v>Folcrop B</v>
      </c>
      <c r="C180" s="4">
        <v>45937</v>
      </c>
      <c r="D180">
        <v>40</v>
      </c>
      <c r="E180" t="s">
        <v>287</v>
      </c>
    </row>
    <row r="181" spans="1:5" x14ac:dyDescent="0.25">
      <c r="A181" s="23" t="s">
        <v>12</v>
      </c>
      <c r="B181" s="24" t="str">
        <f>IFERROR(VLOOKUP(ING.ABROQUIMICOS[[#This Row],[CODIGO]],INV.AGROQUIMICOS[],2,FALSE),"NO EXISTE")</f>
        <v>Fulvin</v>
      </c>
      <c r="C181" s="4">
        <v>45939</v>
      </c>
      <c r="D181">
        <v>140</v>
      </c>
      <c r="E181" t="s">
        <v>268</v>
      </c>
    </row>
    <row r="182" spans="1:5" x14ac:dyDescent="0.25">
      <c r="A182" t="s">
        <v>319</v>
      </c>
      <c r="B182" s="3" t="str">
        <f>IFERROR(VLOOKUP(ING.ABROQUIMICOS[[#This Row],[CODIGO]],INV.AGROQUIMICOS[],2,FALSE),"NO EXISTE")</f>
        <v>Power seed</v>
      </c>
      <c r="C182" s="46">
        <v>45945</v>
      </c>
      <c r="D182">
        <v>40</v>
      </c>
      <c r="E182" t="s">
        <v>328</v>
      </c>
    </row>
    <row r="183" spans="1:5" x14ac:dyDescent="0.25">
      <c r="A183" t="s">
        <v>423</v>
      </c>
      <c r="B183" s="3" t="str">
        <f>IFERROR(VLOOKUP(ING.ABROQUIMICOS[[#This Row],[CODIGO]],INV.AGROQUIMICOS[],2,FALSE),"NO EXISTE")</f>
        <v>Tebucon max</v>
      </c>
      <c r="C183" s="46">
        <v>45947</v>
      </c>
      <c r="D183">
        <v>65</v>
      </c>
      <c r="E183" t="s">
        <v>328</v>
      </c>
    </row>
    <row r="184" spans="1:5" x14ac:dyDescent="0.25">
      <c r="A184" t="s">
        <v>320</v>
      </c>
      <c r="B184" s="3" t="str">
        <f>IFERROR(VLOOKUP(ING.ABROQUIMICOS[[#This Row],[CODIGO]],INV.AGROQUIMICOS[],2,FALSE),"NO EXISTE")</f>
        <v>Rhinox</v>
      </c>
      <c r="C184" s="46">
        <v>45947</v>
      </c>
      <c r="D184">
        <v>40</v>
      </c>
      <c r="E184" t="s">
        <v>328</v>
      </c>
    </row>
    <row r="185" spans="1:5" x14ac:dyDescent="0.25">
      <c r="A185" t="s">
        <v>48</v>
      </c>
      <c r="B185" s="3" t="str">
        <f>IFERROR(VLOOKUP(ING.ABROQUIMICOS[[#This Row],[CODIGO]],INV.AGROQUIMICOS[],2,FALSE),"NO EXISTE")</f>
        <v>Bitrin</v>
      </c>
      <c r="C185" s="46">
        <v>45947</v>
      </c>
      <c r="D185">
        <v>100</v>
      </c>
      <c r="E185" t="s">
        <v>328</v>
      </c>
    </row>
    <row r="186" spans="1:5" x14ac:dyDescent="0.25">
      <c r="A186" t="s">
        <v>24</v>
      </c>
      <c r="B186" s="3" t="str">
        <f>IFERROR(VLOOKUP(ING.ABROQUIMICOS[[#This Row],[CODIGO]],INV.AGROQUIMICOS[],2,FALSE),"NO EXISTE")</f>
        <v>Ardent</v>
      </c>
      <c r="C186" s="46">
        <v>45947</v>
      </c>
      <c r="D186">
        <v>50</v>
      </c>
      <c r="E186" t="s">
        <v>328</v>
      </c>
    </row>
    <row r="187" spans="1:5" x14ac:dyDescent="0.25">
      <c r="A187" t="s">
        <v>277</v>
      </c>
      <c r="B187" s="3" t="str">
        <f>IFERROR(VLOOKUP(ING.ABROQUIMICOS[[#This Row],[CODIGO]],INV.AGROQUIMICOS[],2,FALSE),"NO EXISTE")</f>
        <v>Vortis</v>
      </c>
      <c r="C187" s="46">
        <v>45950</v>
      </c>
      <c r="D187">
        <v>25</v>
      </c>
      <c r="E187" t="s">
        <v>287</v>
      </c>
    </row>
    <row r="188" spans="1:5" x14ac:dyDescent="0.25">
      <c r="A188" s="22" t="s">
        <v>425</v>
      </c>
      <c r="B188" s="3" t="str">
        <f>IFERROR(VLOOKUP(ING.ABROQUIMICOS[[#This Row],[CODIGO]],INV.AGROQUIMICOS[],2,FALSE),"NO EXISTE")</f>
        <v>Jisafol</v>
      </c>
      <c r="C188" s="46">
        <v>45950</v>
      </c>
      <c r="D188" s="3">
        <v>35</v>
      </c>
      <c r="E188" s="47" t="s">
        <v>268</v>
      </c>
    </row>
    <row r="189" spans="1:5" x14ac:dyDescent="0.25">
      <c r="A189" s="22" t="s">
        <v>348</v>
      </c>
      <c r="B189" s="3" t="str">
        <f>IFERROR(VLOOKUP(ING.ABROQUIMICOS[[#This Row],[CODIGO]],INV.AGROQUIMICOS[],2,FALSE),"NO EXISTE")</f>
        <v>Dinotop</v>
      </c>
      <c r="C189" s="46">
        <v>45950</v>
      </c>
      <c r="D189" s="3">
        <v>21</v>
      </c>
      <c r="E189" s="47" t="s">
        <v>287</v>
      </c>
    </row>
    <row r="190" spans="1:5" x14ac:dyDescent="0.25">
      <c r="A190" s="22" t="s">
        <v>424</v>
      </c>
      <c r="B190" s="3" t="str">
        <f>IFERROR(VLOOKUP(ING.ABROQUIMICOS[[#This Row],[CODIGO]],INV.AGROQUIMICOS[],2,FALSE),"NO EXISTE")</f>
        <v>Cosmo foliar</v>
      </c>
      <c r="C190" s="46">
        <v>45950</v>
      </c>
      <c r="D190" s="3">
        <v>64</v>
      </c>
      <c r="E190" s="47" t="s">
        <v>287</v>
      </c>
    </row>
    <row r="191" spans="1:5" x14ac:dyDescent="0.25">
      <c r="A191" s="22" t="s">
        <v>434</v>
      </c>
      <c r="B191" s="3" t="str">
        <f>IFERROR(VLOOKUP(ING.ABROQUIMICOS[[#This Row],[CODIGO]],INV.AGROQUIMICOS[],2,FALSE),"NO EXISTE")</f>
        <v>Yeso Agricola</v>
      </c>
      <c r="C191" s="46">
        <v>45950</v>
      </c>
      <c r="D191" s="3">
        <v>500000</v>
      </c>
      <c r="E191" s="47" t="s">
        <v>442</v>
      </c>
    </row>
    <row r="192" spans="1:5" x14ac:dyDescent="0.25">
      <c r="A192" s="22" t="s">
        <v>277</v>
      </c>
      <c r="B192" s="3" t="str">
        <f>IFERROR(VLOOKUP(ING.ABROQUIMICOS[[#This Row],[CODIGO]],INV.AGROQUIMICOS[],2,FALSE),"NO EXISTE")</f>
        <v>Vortis</v>
      </c>
      <c r="C192" s="46">
        <v>45957</v>
      </c>
      <c r="D192">
        <v>25</v>
      </c>
      <c r="E192" t="s">
        <v>287</v>
      </c>
    </row>
    <row r="193" spans="1:5" x14ac:dyDescent="0.25">
      <c r="A193" s="22" t="s">
        <v>428</v>
      </c>
      <c r="B193" s="3" t="str">
        <f>IFERROR(VLOOKUP(ING.ABROQUIMICOS[[#This Row],[CODIGO]],INV.AGROQUIMICOS[],2,FALSE),"NO EXISTE")</f>
        <v>Magnun</v>
      </c>
      <c r="C193" s="46">
        <v>45957</v>
      </c>
      <c r="D193">
        <v>7</v>
      </c>
      <c r="E193" t="s">
        <v>287</v>
      </c>
    </row>
    <row r="194" spans="1:5" x14ac:dyDescent="0.25">
      <c r="A194" s="23" t="s">
        <v>285</v>
      </c>
      <c r="B194" s="24" t="str">
        <f>IFERROR(VLOOKUP(ING.ABROQUIMICOS[[#This Row],[CODIGO]],INV.AGROQUIMICOS[],2,FALSE),"NO EXISTE")</f>
        <v>Cosmo oil</v>
      </c>
      <c r="C194" s="48">
        <v>45957</v>
      </c>
      <c r="D194">
        <v>60</v>
      </c>
      <c r="E194" t="s">
        <v>287</v>
      </c>
    </row>
    <row r="195" spans="1:5" x14ac:dyDescent="0.25">
      <c r="A195" t="s">
        <v>398</v>
      </c>
      <c r="B195" s="3" t="str">
        <f>IFERROR(VLOOKUP(ING.ABROQUIMICOS[[#This Row],[CODIGO]],INV.AGROQUIMICOS[],2,FALSE),"NO EXISTE")</f>
        <v>Triadamin</v>
      </c>
      <c r="C195" s="46">
        <v>45965</v>
      </c>
      <c r="D195">
        <v>24</v>
      </c>
      <c r="E195" t="s">
        <v>287</v>
      </c>
    </row>
    <row r="196" spans="1:5" x14ac:dyDescent="0.25">
      <c r="A196" t="s">
        <v>351</v>
      </c>
      <c r="B196" s="3" t="str">
        <f>IFERROR(VLOOKUP(ING.ABROQUIMICOS[[#This Row],[CODIGO]],INV.AGROQUIMICOS[],2,FALSE),"NO EXISTE")</f>
        <v>Corsair</v>
      </c>
      <c r="C196" s="46">
        <v>45965</v>
      </c>
      <c r="D196">
        <v>205</v>
      </c>
      <c r="E196" t="s">
        <v>287</v>
      </c>
    </row>
    <row r="197" spans="1:5" ht="13.5" customHeight="1" x14ac:dyDescent="0.25">
      <c r="A197" t="s">
        <v>432</v>
      </c>
      <c r="B197" s="3" t="str">
        <f>IFERROR(VLOOKUP(ING.ABROQUIMICOS[[#This Row],[CODIGO]],INV.AGROQUIMICOS[],2,FALSE),"NO EXISTE")</f>
        <v>Graminex</v>
      </c>
      <c r="C197" s="46">
        <v>45965</v>
      </c>
      <c r="D197">
        <v>255</v>
      </c>
      <c r="E197" t="s">
        <v>287</v>
      </c>
    </row>
    <row r="198" spans="1:5" x14ac:dyDescent="0.25">
      <c r="A198" t="s">
        <v>433</v>
      </c>
      <c r="B198" s="3" t="str">
        <f>IFERROR(VLOOKUP(ING.ABROQUIMICOS[[#This Row],[CODIGO]],INV.AGROQUIMICOS[],2,FALSE),"NO EXISTE")</f>
        <v>Pitbull</v>
      </c>
      <c r="C198" s="46">
        <v>45965</v>
      </c>
      <c r="D198">
        <v>55</v>
      </c>
      <c r="E198" t="s">
        <v>287</v>
      </c>
    </row>
    <row r="199" spans="1:5" x14ac:dyDescent="0.25">
      <c r="A199" t="s">
        <v>414</v>
      </c>
      <c r="B199" s="3" t="str">
        <f>IFERROR(VLOOKUP(ING.ABROQUIMICOS[[#This Row],[CODIGO]],INV.AGROQUIMICOS[],2,FALSE),"NO EXISTE")</f>
        <v>Glifodin max</v>
      </c>
      <c r="C199" s="46">
        <v>45966</v>
      </c>
      <c r="D199">
        <v>800</v>
      </c>
      <c r="E199" t="s">
        <v>328</v>
      </c>
    </row>
    <row r="200" spans="1:5" x14ac:dyDescent="0.25">
      <c r="A200" t="s">
        <v>398</v>
      </c>
      <c r="B200" s="24" t="str">
        <f>IFERROR(VLOOKUP(ING.ABROQUIMICOS[[#This Row],[CODIGO]],INV.AGROQUIMICOS[],2,FALSE),"NO EXISTE")</f>
        <v>Triadamin</v>
      </c>
      <c r="C200" s="48">
        <v>45966</v>
      </c>
      <c r="D200">
        <v>12</v>
      </c>
      <c r="E200" t="s">
        <v>287</v>
      </c>
    </row>
    <row r="201" spans="1:5" x14ac:dyDescent="0.25">
      <c r="A201" s="22" t="s">
        <v>279</v>
      </c>
      <c r="B201" s="3" t="str">
        <f>IFERROR(VLOOKUP(ING.ABROQUIMICOS[[#This Row],[CODIGO]],INV.AGROQUIMICOS[],2,FALSE),"NO EXISTE")</f>
        <v>Navajo</v>
      </c>
      <c r="C201" s="4">
        <v>45972</v>
      </c>
      <c r="D201">
        <v>3.6</v>
      </c>
      <c r="E201" t="s">
        <v>287</v>
      </c>
    </row>
    <row r="202" spans="1:5" x14ac:dyDescent="0.25">
      <c r="A202" s="22" t="s">
        <v>285</v>
      </c>
      <c r="B202" s="3" t="str">
        <f>IFERROR(VLOOKUP(ING.ABROQUIMICOS[[#This Row],[CODIGO]],INV.AGROQUIMICOS[],2,FALSE),"NO EXISTE")</f>
        <v>Cosmo oil</v>
      </c>
      <c r="C202" s="4">
        <v>45972</v>
      </c>
      <c r="D202">
        <v>100</v>
      </c>
      <c r="E202" t="s">
        <v>287</v>
      </c>
    </row>
    <row r="203" spans="1:5" x14ac:dyDescent="0.25">
      <c r="A203" s="23" t="s">
        <v>444</v>
      </c>
      <c r="B203" s="24" t="str">
        <f>IFERROR(VLOOKUP(ING.ABROQUIMICOS[[#This Row],[CODIGO]],INV.AGROQUIMICOS[],2,FALSE),"NO EXISTE")</f>
        <v>Viomax Pro</v>
      </c>
      <c r="C203" s="4">
        <v>45972</v>
      </c>
      <c r="D203">
        <v>85</v>
      </c>
      <c r="E203" t="s">
        <v>287</v>
      </c>
    </row>
    <row r="204" spans="1:5" x14ac:dyDescent="0.25">
      <c r="A204" s="22" t="s">
        <v>279</v>
      </c>
      <c r="B204" s="3" t="str">
        <f>IFERROR(VLOOKUP(ING.ABROQUIMICOS[[#This Row],[CODIGO]],INV.AGROQUIMICOS[],2,FALSE),"NO EXISTE")</f>
        <v>Navajo</v>
      </c>
      <c r="C204" s="46">
        <v>45979</v>
      </c>
      <c r="D204">
        <v>2</v>
      </c>
      <c r="E204" t="s">
        <v>287</v>
      </c>
    </row>
    <row r="205" spans="1:5" x14ac:dyDescent="0.25">
      <c r="A205" s="22" t="s">
        <v>447</v>
      </c>
      <c r="B205" s="3" t="str">
        <f>IFERROR(VLOOKUP(ING.ABROQUIMICOS[[#This Row],[CODIGO]],INV.AGROQUIMICOS[],2,FALSE),"NO EXISTE")</f>
        <v>Gramon 24 ec</v>
      </c>
      <c r="C205" s="46">
        <v>45979</v>
      </c>
      <c r="D205">
        <v>150</v>
      </c>
      <c r="E205" t="s">
        <v>287</v>
      </c>
    </row>
    <row r="206" spans="1:5" x14ac:dyDescent="0.25">
      <c r="A206" s="22" t="s">
        <v>37</v>
      </c>
      <c r="B206" s="3" t="str">
        <f>IFERROR(VLOOKUP(ING.ABROQUIMICOS[[#This Row],[CODIGO]],INV.AGROQUIMICOS[],2,FALSE),"NO EXISTE")</f>
        <v>Power weed</v>
      </c>
      <c r="C206" s="46">
        <v>45979</v>
      </c>
      <c r="D206">
        <v>30</v>
      </c>
      <c r="E206" t="s">
        <v>328</v>
      </c>
    </row>
    <row r="207" spans="1:5" x14ac:dyDescent="0.25">
      <c r="A207" s="22" t="s">
        <v>29</v>
      </c>
      <c r="B207" s="3" t="str">
        <f>IFERROR(VLOOKUP(ING.ABROQUIMICOS[[#This Row],[CODIGO]],INV.AGROQUIMICOS[],2,FALSE),"NO EXISTE")</f>
        <v>Carbensoy</v>
      </c>
      <c r="C207" s="46">
        <v>45979</v>
      </c>
      <c r="D207">
        <v>100</v>
      </c>
      <c r="E207" t="s">
        <v>328</v>
      </c>
    </row>
    <row r="208" spans="1:5" x14ac:dyDescent="0.25">
      <c r="A208" s="22" t="s">
        <v>319</v>
      </c>
      <c r="B208" s="3" t="str">
        <f>IFERROR(VLOOKUP(ING.ABROQUIMICOS[[#This Row],[CODIGO]],INV.AGROQUIMICOS[],2,FALSE),"NO EXISTE")</f>
        <v>Power seed</v>
      </c>
      <c r="C208" s="46">
        <v>45979</v>
      </c>
      <c r="D208">
        <v>40</v>
      </c>
      <c r="E208" t="s">
        <v>328</v>
      </c>
    </row>
    <row r="209" spans="1:5" x14ac:dyDescent="0.25">
      <c r="A209" s="22" t="s">
        <v>18</v>
      </c>
      <c r="B209" s="3" t="str">
        <f>IFERROR(VLOOKUP(ING.ABROQUIMICOS[[#This Row],[CODIGO]],INV.AGROQUIMICOS[],2,FALSE),"NO EXISTE")</f>
        <v>Komus flex</v>
      </c>
      <c r="C209" s="46">
        <v>45982</v>
      </c>
      <c r="D209">
        <v>24</v>
      </c>
      <c r="E209" t="s">
        <v>268</v>
      </c>
    </row>
    <row r="210" spans="1:5" x14ac:dyDescent="0.25">
      <c r="A210" s="22" t="s">
        <v>68</v>
      </c>
      <c r="B210" s="3" t="str">
        <f>IFERROR(VLOOKUP(ING.ABROQUIMICOS[[#This Row],[CODIGO]],INV.AGROQUIMICOS[],2,FALSE),"NO EXISTE")</f>
        <v>Trump</v>
      </c>
      <c r="C210" s="46">
        <v>45982</v>
      </c>
      <c r="D210">
        <v>24</v>
      </c>
      <c r="E210" t="s">
        <v>268</v>
      </c>
    </row>
    <row r="211" spans="1:5" x14ac:dyDescent="0.25">
      <c r="A211" s="22" t="s">
        <v>448</v>
      </c>
      <c r="B211" s="3" t="str">
        <f>IFERROR(VLOOKUP(ING.ABROQUIMICOS[[#This Row],[CODIGO]],INV.AGROQUIMICOS[],2,FALSE),"NO EXISTE")</f>
        <v>Color seed</v>
      </c>
      <c r="C211" s="46">
        <v>45982</v>
      </c>
      <c r="D211">
        <v>12</v>
      </c>
      <c r="E211" t="s">
        <v>268</v>
      </c>
    </row>
    <row r="212" spans="1:5" x14ac:dyDescent="0.25">
      <c r="A212" s="22" t="s">
        <v>20</v>
      </c>
      <c r="B212" s="3" t="str">
        <f>IFERROR(VLOOKUP(ING.ABROQUIMICOS[[#This Row],[CODIGO]],INV.AGROQUIMICOS[],2,FALSE),"NO EXISTE")</f>
        <v>Bulhnova</v>
      </c>
      <c r="C212" s="46">
        <v>45982</v>
      </c>
      <c r="D212">
        <v>14</v>
      </c>
      <c r="E212" t="s">
        <v>268</v>
      </c>
    </row>
    <row r="213" spans="1:5" x14ac:dyDescent="0.25">
      <c r="A213" s="22" t="s">
        <v>449</v>
      </c>
      <c r="B213" s="3" t="str">
        <f>IFERROR(VLOOKUP(ING.ABROQUIMICOS[[#This Row],[CODIGO]],INV.AGROQUIMICOS[],2,FALSE),"NO EXISTE")</f>
        <v>Bio  gain co-mo</v>
      </c>
      <c r="C213" s="46">
        <v>45982</v>
      </c>
      <c r="D213">
        <v>14</v>
      </c>
      <c r="E213" t="s">
        <v>268</v>
      </c>
    </row>
    <row r="214" spans="1:5" x14ac:dyDescent="0.25">
      <c r="A214" s="23" t="s">
        <v>65</v>
      </c>
      <c r="B214" s="24" t="str">
        <f>IFERROR(VLOOKUP(ING.ABROQUIMICOS[[#This Row],[CODIGO]],INV.AGROQUIMICOS[],2,FALSE),"NO EXISTE")</f>
        <v>Soja siembra plus</v>
      </c>
      <c r="C214" s="48">
        <v>45982</v>
      </c>
      <c r="D214">
        <v>10.5</v>
      </c>
      <c r="E214" t="s">
        <v>268</v>
      </c>
    </row>
    <row r="215" spans="1:5" x14ac:dyDescent="0.25">
      <c r="A215" s="22" t="s">
        <v>454</v>
      </c>
      <c r="B215" s="3" t="str">
        <f>IFERROR(VLOOKUP(ING.ABROQUIMICOS[[#This Row],[CODIGO]],INV.AGROQUIMICOS[],2,FALSE),"NO EXISTE")</f>
        <v>Malexone</v>
      </c>
      <c r="C215" s="4">
        <v>45987</v>
      </c>
      <c r="D215">
        <v>700</v>
      </c>
      <c r="E215" t="s">
        <v>328</v>
      </c>
    </row>
    <row r="216" spans="1:5" x14ac:dyDescent="0.25">
      <c r="A216" s="22" t="s">
        <v>434</v>
      </c>
      <c r="B216" s="3" t="str">
        <f>IFERROR(VLOOKUP(ING.ABROQUIMICOS[[#This Row],[CODIGO]],INV.AGROQUIMICOS[],2,FALSE),"NO EXISTE")</f>
        <v>Yeso Agricola</v>
      </c>
      <c r="C216" s="4">
        <v>45987</v>
      </c>
      <c r="D216">
        <v>227000</v>
      </c>
      <c r="E216" t="s">
        <v>457</v>
      </c>
    </row>
    <row r="217" spans="1:5" x14ac:dyDescent="0.25">
      <c r="A217" s="23" t="s">
        <v>274</v>
      </c>
      <c r="B217" s="24" t="str">
        <f>IFERROR(VLOOKUP(ING.ABROQUIMICOS[[#This Row],[CODIGO]],INV.AGROQUIMICOS[],2,FALSE),"NO EXISTE")</f>
        <v>Urea</v>
      </c>
      <c r="C217" s="4">
        <v>45987</v>
      </c>
      <c r="D217">
        <v>45000</v>
      </c>
    </row>
    <row r="218" spans="1:5" x14ac:dyDescent="0.25">
      <c r="A218" t="s">
        <v>277</v>
      </c>
      <c r="B218" s="3" t="str">
        <f>IFERROR(VLOOKUP(ING.ABROQUIMICOS[[#This Row],[CODIGO]],INV.AGROQUIMICOS[],2,FALSE),"NO EXISTE")</f>
        <v>Vortis</v>
      </c>
      <c r="C218" s="46">
        <v>45992</v>
      </c>
      <c r="D218">
        <v>25</v>
      </c>
      <c r="E218" t="s">
        <v>287</v>
      </c>
    </row>
    <row r="219" spans="1:5" x14ac:dyDescent="0.25">
      <c r="A219" t="s">
        <v>428</v>
      </c>
      <c r="B219" s="3" t="str">
        <f>IFERROR(VLOOKUP(ING.ABROQUIMICOS[[#This Row],[CODIGO]],INV.AGROQUIMICOS[],2,FALSE),"NO EXISTE")</f>
        <v>Magnun</v>
      </c>
      <c r="C219" s="46">
        <v>45992</v>
      </c>
      <c r="D219">
        <v>25</v>
      </c>
      <c r="E219" t="s">
        <v>287</v>
      </c>
    </row>
    <row r="220" spans="1:5" x14ac:dyDescent="0.25">
      <c r="A220" t="s">
        <v>423</v>
      </c>
      <c r="B220" s="3" t="str">
        <f>IFERROR(VLOOKUP(ING.ABROQUIMICOS[[#This Row],[CODIGO]],INV.AGROQUIMICOS[],2,FALSE),"NO EXISTE")</f>
        <v>Tebucon max</v>
      </c>
      <c r="C220" s="46">
        <v>45992</v>
      </c>
      <c r="D220">
        <v>65</v>
      </c>
      <c r="E220" t="s">
        <v>328</v>
      </c>
    </row>
    <row r="221" spans="1:5" x14ac:dyDescent="0.25">
      <c r="A221" t="s">
        <v>454</v>
      </c>
      <c r="B221" s="3" t="str">
        <f>IFERROR(VLOOKUP(ING.ABROQUIMICOS[[#This Row],[CODIGO]],INV.AGROQUIMICOS[],2,FALSE),"NO EXISTE")</f>
        <v>Malexone</v>
      </c>
      <c r="C221" s="46">
        <v>45992</v>
      </c>
      <c r="D221">
        <v>300</v>
      </c>
      <c r="E221" t="s">
        <v>328</v>
      </c>
    </row>
    <row r="222" spans="1:5" x14ac:dyDescent="0.25">
      <c r="A222" t="s">
        <v>458</v>
      </c>
      <c r="B222" s="3" t="str">
        <f>IFERROR(VLOOKUP(ING.ABROQUIMICOS[[#This Row],[CODIGO]],INV.AGROQUIMICOS[],2,FALSE),"NO EXISTE")</f>
        <v>Pyton</v>
      </c>
      <c r="C222" s="46">
        <v>45995</v>
      </c>
      <c r="D222">
        <v>1000</v>
      </c>
      <c r="E222" t="s">
        <v>268</v>
      </c>
    </row>
    <row r="223" spans="1:5" x14ac:dyDescent="0.25">
      <c r="A223" t="s">
        <v>459</v>
      </c>
      <c r="B223" s="3" t="str">
        <f>IFERROR(VLOOKUP(ING.ABROQUIMICOS[[#This Row],[CODIGO]],INV.AGROQUIMICOS[],2,FALSE),"NO EXISTE")</f>
        <v>Terrano 48</v>
      </c>
      <c r="C223" s="46">
        <v>45995</v>
      </c>
      <c r="D223">
        <v>300</v>
      </c>
      <c r="E223" t="s">
        <v>268</v>
      </c>
    </row>
    <row r="224" spans="1:5" x14ac:dyDescent="0.25">
      <c r="A224" t="s">
        <v>460</v>
      </c>
      <c r="B224" s="3" t="str">
        <f>IFERROR(VLOOKUP(ING.ABROQUIMICOS[[#This Row],[CODIGO]],INV.AGROQUIMICOS[],2,FALSE),"NO EXISTE")</f>
        <v>Ochima</v>
      </c>
      <c r="C224" s="46">
        <v>45995</v>
      </c>
      <c r="D224">
        <v>300</v>
      </c>
      <c r="E224" t="s">
        <v>287</v>
      </c>
    </row>
    <row r="225" spans="1:5" x14ac:dyDescent="0.25">
      <c r="A225" t="s">
        <v>279</v>
      </c>
      <c r="B225" s="24" t="str">
        <f>IFERROR(VLOOKUP(ING.ABROQUIMICOS[[#This Row],[CODIGO]],INV.AGROQUIMICOS[],2,FALSE),"NO EXISTE")</f>
        <v>Navajo</v>
      </c>
      <c r="C225" s="48">
        <v>45995</v>
      </c>
      <c r="D225">
        <v>20</v>
      </c>
      <c r="E225" t="s">
        <v>287</v>
      </c>
    </row>
    <row r="226" spans="1:5" x14ac:dyDescent="0.25">
      <c r="A226" s="22" t="s">
        <v>460</v>
      </c>
      <c r="B226" s="3" t="str">
        <f>IFERROR(VLOOKUP(ING.ABROQUIMICOS[[#This Row],[CODIGO]],INV.AGROQUIMICOS[],2,FALSE),"NO EXISTE")</f>
        <v>Ochima</v>
      </c>
      <c r="C226" s="4">
        <v>46001</v>
      </c>
      <c r="D226">
        <v>75</v>
      </c>
      <c r="E226" t="s">
        <v>287</v>
      </c>
    </row>
    <row r="227" spans="1:5" x14ac:dyDescent="0.25">
      <c r="A227" s="22" t="s">
        <v>467</v>
      </c>
      <c r="B227" s="3" t="str">
        <f>IFERROR(VLOOKUP(ING.ABROQUIMICOS[[#This Row],[CODIGO]],INV.AGROQUIMICOS[],2,FALSE),"NO EXISTE")</f>
        <v>Gusafos 48</v>
      </c>
      <c r="C227" s="4">
        <v>46001</v>
      </c>
      <c r="D227">
        <v>120</v>
      </c>
      <c r="E227" t="s">
        <v>287</v>
      </c>
    </row>
    <row r="228" spans="1:5" x14ac:dyDescent="0.25">
      <c r="A228" s="22" t="s">
        <v>428</v>
      </c>
      <c r="B228" s="3" t="str">
        <f>IFERROR(VLOOKUP(ING.ABROQUIMICOS[[#This Row],[CODIGO]],INV.AGROQUIMICOS[],2,FALSE),"NO EXISTE")</f>
        <v>Magnun</v>
      </c>
      <c r="C228" s="4">
        <v>46001</v>
      </c>
      <c r="D228">
        <v>3</v>
      </c>
      <c r="E228" t="s">
        <v>471</v>
      </c>
    </row>
    <row r="229" spans="1:5" x14ac:dyDescent="0.25">
      <c r="A229" s="22" t="s">
        <v>468</v>
      </c>
      <c r="B229" s="3" t="str">
        <f>IFERROR(VLOOKUP(ING.ABROQUIMICOS[[#This Row],[CODIGO]],INV.AGROQUIMICOS[],2,FALSE),"NO EXISTE")</f>
        <v>Radiflex</v>
      </c>
      <c r="C229" s="4">
        <v>46001</v>
      </c>
      <c r="D229">
        <v>44</v>
      </c>
      <c r="E229" t="s">
        <v>287</v>
      </c>
    </row>
    <row r="230" spans="1:5" x14ac:dyDescent="0.25">
      <c r="A230" s="23" t="s">
        <v>23</v>
      </c>
      <c r="B230" s="24" t="str">
        <f>IFERROR(VLOOKUP(ING.ABROQUIMICOS[[#This Row],[CODIGO]],INV.AGROQUIMICOS[],2,FALSE),"NO EXISTE")</f>
        <v>Rein</v>
      </c>
      <c r="C230" s="4">
        <v>46003</v>
      </c>
      <c r="D230">
        <v>24</v>
      </c>
      <c r="E230" t="s">
        <v>268</v>
      </c>
    </row>
    <row r="231" spans="1:5" x14ac:dyDescent="0.25">
      <c r="A231" s="22" t="s">
        <v>484</v>
      </c>
      <c r="B231" s="3" t="str">
        <f>IFERROR(VLOOKUP(ING.ABROQUIMICOS[[#This Row],[CODIGO]],INV.AGROQUIMICOS[],2,FALSE),"NO EXISTE")</f>
        <v>audaz</v>
      </c>
      <c r="C231" s="46">
        <v>46006</v>
      </c>
      <c r="D231" s="3">
        <v>50</v>
      </c>
      <c r="E231" t="s">
        <v>287</v>
      </c>
    </row>
    <row r="232" spans="1:5" x14ac:dyDescent="0.25">
      <c r="A232" s="22" t="s">
        <v>485</v>
      </c>
      <c r="B232" s="3" t="str">
        <f>IFERROR(VLOOKUP(ING.ABROQUIMICOS[[#This Row],[CODIGO]],INV.AGROQUIMICOS[],2,FALSE),"NO EXISTE")</f>
        <v>total 75</v>
      </c>
      <c r="C232" s="46">
        <v>46008</v>
      </c>
      <c r="D232" s="3">
        <v>380</v>
      </c>
      <c r="E232" t="s">
        <v>516</v>
      </c>
    </row>
    <row r="233" spans="1:5" x14ac:dyDescent="0.25">
      <c r="A233" s="22" t="s">
        <v>486</v>
      </c>
      <c r="B233" s="3" t="str">
        <f>IFERROR(VLOOKUP(ING.ABROQUIMICOS[[#This Row],[CODIGO]],INV.AGROQUIMICOS[],2,FALSE),"NO EXISTE")</f>
        <v>colax</v>
      </c>
      <c r="C233" s="46">
        <v>46008</v>
      </c>
      <c r="D233" s="3">
        <v>200</v>
      </c>
      <c r="E233" t="s">
        <v>516</v>
      </c>
    </row>
    <row r="234" spans="1:5" x14ac:dyDescent="0.25">
      <c r="A234" s="22" t="s">
        <v>12</v>
      </c>
      <c r="B234" s="3" t="str">
        <f>IFERROR(VLOOKUP(ING.ABROQUIMICOS[[#This Row],[CODIGO]],INV.AGROQUIMICOS[],2,FALSE),"NO EXISTE")</f>
        <v>Fulvin</v>
      </c>
      <c r="C234" s="46">
        <v>46009</v>
      </c>
      <c r="D234" s="3">
        <v>500</v>
      </c>
      <c r="E234" t="s">
        <v>268</v>
      </c>
    </row>
    <row r="235" spans="1:5" x14ac:dyDescent="0.25">
      <c r="A235" s="22" t="s">
        <v>432</v>
      </c>
      <c r="B235" s="3" t="str">
        <f>IFERROR(VLOOKUP(ING.ABROQUIMICOS[[#This Row],[CODIGO]],INV.AGROQUIMICOS[],2,FALSE),"NO EXISTE")</f>
        <v>Graminex</v>
      </c>
      <c r="C235" s="46">
        <v>46009</v>
      </c>
      <c r="D235" s="3">
        <v>55</v>
      </c>
      <c r="E235" t="s">
        <v>287</v>
      </c>
    </row>
    <row r="236" spans="1:5" x14ac:dyDescent="0.25">
      <c r="A236" s="22" t="s">
        <v>433</v>
      </c>
      <c r="B236" s="3" t="str">
        <f>IFERROR(VLOOKUP(ING.ABROQUIMICOS[[#This Row],[CODIGO]],INV.AGROQUIMICOS[],2,FALSE),"NO EXISTE")</f>
        <v>Pitbull</v>
      </c>
      <c r="C236" s="46">
        <v>46009</v>
      </c>
      <c r="D236" s="3">
        <v>40</v>
      </c>
      <c r="E236" t="s">
        <v>287</v>
      </c>
    </row>
    <row r="237" spans="1:5" x14ac:dyDescent="0.25">
      <c r="A237" s="22" t="s">
        <v>487</v>
      </c>
      <c r="B237" s="3" t="str">
        <f>IFERROR(VLOOKUP(ING.ABROQUIMICOS[[#This Row],[CODIGO]],INV.AGROQUIMICOS[],2,FALSE),"NO EXISTE")</f>
        <v>perla humica</v>
      </c>
      <c r="C237" s="46">
        <v>46011</v>
      </c>
      <c r="D237" s="3">
        <v>550</v>
      </c>
      <c r="E237" t="s">
        <v>268</v>
      </c>
    </row>
    <row r="238" spans="1:5" x14ac:dyDescent="0.25">
      <c r="A238" s="22" t="s">
        <v>488</v>
      </c>
      <c r="B238" s="3" t="str">
        <f>IFERROR(VLOOKUP(ING.ABROQUIMICOS[[#This Row],[CODIGO]],INV.AGROQUIMICOS[],2,FALSE),"NO EXISTE")</f>
        <v>tebuco dkn 430</v>
      </c>
      <c r="C238" s="46">
        <v>46014</v>
      </c>
      <c r="D238" s="3">
        <v>285</v>
      </c>
      <c r="E238" t="s">
        <v>516</v>
      </c>
    </row>
    <row r="239" spans="1:5" x14ac:dyDescent="0.25">
      <c r="A239" s="22" t="s">
        <v>489</v>
      </c>
      <c r="B239" s="3" t="str">
        <f>IFERROR(VLOOKUP(ING.ABROQUIMICOS[[#This Row],[CODIGO]],INV.AGROQUIMICOS[],2,FALSE),"NO EXISTE")</f>
        <v>Ema 300</v>
      </c>
      <c r="C239" s="46">
        <v>46014</v>
      </c>
      <c r="D239" s="3">
        <v>24</v>
      </c>
      <c r="E239" t="s">
        <v>516</v>
      </c>
    </row>
    <row r="240" spans="1:5" x14ac:dyDescent="0.25">
      <c r="A240" s="22" t="s">
        <v>490</v>
      </c>
      <c r="B240" s="3" t="str">
        <f>IFERROR(VLOOKUP(ING.ABROQUIMICOS[[#This Row],[CODIGO]],INV.AGROQUIMICOS[],2,FALSE),"NO EXISTE")</f>
        <v xml:space="preserve">Clorfenapyr dkn </v>
      </c>
      <c r="C240" s="46">
        <v>46014</v>
      </c>
      <c r="D240" s="3">
        <v>125</v>
      </c>
      <c r="E240" t="s">
        <v>516</v>
      </c>
    </row>
    <row r="241" spans="1:5" x14ac:dyDescent="0.25">
      <c r="A241" s="22" t="s">
        <v>491</v>
      </c>
      <c r="B241" s="3" t="str">
        <f>IFERROR(VLOOKUP(ING.ABROQUIMICOS[[#This Row],[CODIGO]],INV.AGROQUIMICOS[],2,FALSE),"NO EXISTE")</f>
        <v>Belico</v>
      </c>
      <c r="C241" s="46">
        <v>46014</v>
      </c>
      <c r="D241" s="3">
        <v>250</v>
      </c>
      <c r="E241" t="s">
        <v>516</v>
      </c>
    </row>
    <row r="242" spans="1:5" x14ac:dyDescent="0.25">
      <c r="A242" s="22" t="s">
        <v>492</v>
      </c>
      <c r="B242" s="3" t="str">
        <f>IFERROR(VLOOKUP(ING.ABROQUIMICOS[[#This Row],[CODIGO]],INV.AGROQUIMICOS[],2,FALSE),"NO EXISTE")</f>
        <v>Inside nt</v>
      </c>
      <c r="C242" s="46">
        <v>46014</v>
      </c>
      <c r="D242" s="3">
        <v>24</v>
      </c>
      <c r="E242" t="s">
        <v>516</v>
      </c>
    </row>
    <row r="243" spans="1:5" x14ac:dyDescent="0.25">
      <c r="A243" s="22" t="s">
        <v>493</v>
      </c>
      <c r="B243" s="3" t="str">
        <f>IFERROR(VLOOKUP(ING.ABROQUIMICOS[[#This Row],[CODIGO]],INV.AGROQUIMICOS[],2,FALSE),"NO EXISTE")</f>
        <v>Danken hard mix</v>
      </c>
      <c r="C243" s="46">
        <v>46014</v>
      </c>
      <c r="D243" s="3">
        <v>12</v>
      </c>
      <c r="E243" t="s">
        <v>516</v>
      </c>
    </row>
    <row r="244" spans="1:5" x14ac:dyDescent="0.25">
      <c r="A244" s="22" t="s">
        <v>494</v>
      </c>
      <c r="B244" s="3" t="str">
        <f>IFERROR(VLOOKUP(ING.ABROQUIMICOS[[#This Row],[CODIGO]],INV.AGROQUIMICOS[],2,FALSE),"NO EXISTE")</f>
        <v>Totalquat</v>
      </c>
      <c r="C244" s="46">
        <v>46014</v>
      </c>
      <c r="D244" s="3">
        <v>60</v>
      </c>
      <c r="E244" t="s">
        <v>516</v>
      </c>
    </row>
    <row r="245" spans="1:5" x14ac:dyDescent="0.25">
      <c r="A245" s="23" t="s">
        <v>495</v>
      </c>
      <c r="B245" s="24" t="str">
        <f>IFERROR(VLOOKUP(ING.ABROQUIMICOS[[#This Row],[CODIGO]],INV.AGROQUIMICOS[],2,FALSE),"NO EXISTE")</f>
        <v>Preludio</v>
      </c>
      <c r="C245" s="48">
        <v>46014</v>
      </c>
      <c r="D245" s="24">
        <v>7.5</v>
      </c>
      <c r="E245" t="s">
        <v>328</v>
      </c>
    </row>
    <row r="246" spans="1:5" x14ac:dyDescent="0.25">
      <c r="A246" s="22" t="s">
        <v>520</v>
      </c>
      <c r="B246" s="3" t="str">
        <f>IFERROR(VLOOKUP(ING.ABROQUIMICOS[[#This Row],[CODIGO]],INV.AGROQUIMICOS[],2,FALSE),"NO EXISTE")</f>
        <v>Amino 80</v>
      </c>
      <c r="C246" s="4">
        <v>46018</v>
      </c>
      <c r="D246">
        <v>8</v>
      </c>
    </row>
    <row r="247" spans="1:5" x14ac:dyDescent="0.25">
      <c r="A247" s="22" t="s">
        <v>521</v>
      </c>
      <c r="B247" s="3" t="str">
        <f>IFERROR(VLOOKUP(ING.ABROQUIMICOS[[#This Row],[CODIGO]],INV.AGROQUIMICOS[],2,FALSE),"NO EXISTE")</f>
        <v>Algamas</v>
      </c>
      <c r="C247" s="4">
        <v>46018</v>
      </c>
      <c r="D247">
        <v>8</v>
      </c>
    </row>
    <row r="248" spans="1:5" x14ac:dyDescent="0.25">
      <c r="A248" s="22" t="s">
        <v>348</v>
      </c>
      <c r="B248" s="3" t="str">
        <f>IFERROR(VLOOKUP(ING.ABROQUIMICOS[[#This Row],[CODIGO]],INV.AGROQUIMICOS[],2,FALSE),"NO EXISTE")</f>
        <v>Dinotop</v>
      </c>
      <c r="C248" s="4">
        <v>46020</v>
      </c>
      <c r="D248">
        <v>22</v>
      </c>
      <c r="E248" t="s">
        <v>287</v>
      </c>
    </row>
    <row r="249" spans="1:5" x14ac:dyDescent="0.25">
      <c r="A249" s="22" t="s">
        <v>433</v>
      </c>
      <c r="B249" s="3" t="str">
        <f>IFERROR(VLOOKUP(ING.ABROQUIMICOS[[#This Row],[CODIGO]],INV.AGROQUIMICOS[],2,FALSE),"NO EXISTE")</f>
        <v>Pitbull</v>
      </c>
      <c r="C249" s="4">
        <v>46020</v>
      </c>
      <c r="D249">
        <v>40</v>
      </c>
      <c r="E249" t="s">
        <v>287</v>
      </c>
    </row>
    <row r="250" spans="1:5" x14ac:dyDescent="0.25">
      <c r="A250" s="22" t="s">
        <v>519</v>
      </c>
      <c r="B250" s="3" t="str">
        <f>IFERROR(VLOOKUP(ING.ABROQUIMICOS[[#This Row],[CODIGO]],INV.AGROQUIMICOS[],2,FALSE),"NO EXISTE")</f>
        <v>Harvestol e plus</v>
      </c>
      <c r="C250" s="4">
        <v>46020</v>
      </c>
      <c r="D250">
        <v>100</v>
      </c>
      <c r="E250" t="s">
        <v>287</v>
      </c>
    </row>
    <row r="251" spans="1:5" x14ac:dyDescent="0.25">
      <c r="A251" s="22" t="s">
        <v>522</v>
      </c>
      <c r="B251" s="3" t="str">
        <f>IFERROR(VLOOKUP(ING.ABROQUIMICOS[[#This Row],[CODIGO]],INV.AGROQUIMICOS[],2,FALSE),"NO EXISTE")</f>
        <v>Quintal xtra</v>
      </c>
      <c r="C251" s="4">
        <v>46020</v>
      </c>
      <c r="D251">
        <v>25</v>
      </c>
      <c r="E251" t="s">
        <v>533</v>
      </c>
    </row>
    <row r="252" spans="1:5" x14ac:dyDescent="0.25">
      <c r="A252" s="22" t="s">
        <v>433</v>
      </c>
      <c r="B252" s="3" t="str">
        <f>IFERROR(VLOOKUP(ING.ABROQUIMICOS[[#This Row],[CODIGO]],INV.AGROQUIMICOS[],2,FALSE),"NO EXISTE")</f>
        <v>Pitbull</v>
      </c>
      <c r="C252" s="4">
        <v>46030</v>
      </c>
      <c r="D252">
        <v>55</v>
      </c>
      <c r="E252" t="s">
        <v>287</v>
      </c>
    </row>
    <row r="253" spans="1:5" x14ac:dyDescent="0.25">
      <c r="A253" s="22" t="s">
        <v>494</v>
      </c>
      <c r="B253" s="3" t="str">
        <f>IFERROR(VLOOKUP(ING.ABROQUIMICOS[[#This Row],[CODIGO]],INV.AGROQUIMICOS[],2,FALSE),"NO EXISTE")</f>
        <v>Totalquat</v>
      </c>
      <c r="C253" s="4">
        <v>46031</v>
      </c>
      <c r="D253">
        <v>1840</v>
      </c>
      <c r="E253" t="s">
        <v>516</v>
      </c>
    </row>
    <row r="254" spans="1:5" x14ac:dyDescent="0.25">
      <c r="A254" s="23" t="s">
        <v>523</v>
      </c>
      <c r="B254" s="24" t="str">
        <f>IFERROR(VLOOKUP(ING.ABROQUIMICOS[[#This Row],[CODIGO]],INV.AGROQUIMICOS[],2,FALSE),"NO EXISTE")</f>
        <v>Zinatra dkn</v>
      </c>
      <c r="C254" s="4">
        <v>46031</v>
      </c>
      <c r="D254">
        <v>680</v>
      </c>
      <c r="E254" t="s">
        <v>516</v>
      </c>
    </row>
    <row r="255" spans="1:5" x14ac:dyDescent="0.25">
      <c r="A255" s="22" t="s">
        <v>398</v>
      </c>
      <c r="B255" s="3" t="str">
        <f>IFERROR(VLOOKUP(ING.ABROQUIMICOS[[#This Row],[CODIGO]],INV.AGROQUIMICOS[],2,FALSE),"NO EXISTE")</f>
        <v>Triadamin</v>
      </c>
      <c r="C255" s="4">
        <v>46037</v>
      </c>
      <c r="D255">
        <v>12</v>
      </c>
      <c r="E255" t="s">
        <v>287</v>
      </c>
    </row>
    <row r="256" spans="1:5" x14ac:dyDescent="0.25">
      <c r="A256" s="22" t="s">
        <v>428</v>
      </c>
      <c r="B256" s="3" t="str">
        <f>IFERROR(VLOOKUP(ING.ABROQUIMICOS[[#This Row],[CODIGO]],INV.AGROQUIMICOS[],2,FALSE),"NO EXISTE")</f>
        <v>Magnun</v>
      </c>
      <c r="C256" s="4">
        <v>46037</v>
      </c>
      <c r="D256">
        <v>7</v>
      </c>
      <c r="E256" t="s">
        <v>287</v>
      </c>
    </row>
    <row r="257" spans="1:5" x14ac:dyDescent="0.25">
      <c r="A257" s="22" t="s">
        <v>394</v>
      </c>
      <c r="B257" s="3" t="str">
        <f>IFERROR(VLOOKUP(ING.ABROQUIMICOS[[#This Row],[CODIGO]],INV.AGROQUIMICOS[],2,FALSE),"NO EXISTE")</f>
        <v>Nuprid 70</v>
      </c>
      <c r="C257" s="4">
        <v>46037</v>
      </c>
      <c r="D257">
        <v>19</v>
      </c>
      <c r="E257" t="s">
        <v>287</v>
      </c>
    </row>
    <row r="258" spans="1:5" x14ac:dyDescent="0.25">
      <c r="A258" s="22" t="s">
        <v>348</v>
      </c>
      <c r="B258" s="3" t="str">
        <f>IFERROR(VLOOKUP(ING.ABROQUIMICOS[[#This Row],[CODIGO]],INV.AGROQUIMICOS[],2,FALSE),"NO EXISTE")</f>
        <v>Dinotop</v>
      </c>
      <c r="C258" s="4">
        <v>46037</v>
      </c>
      <c r="D258">
        <v>50</v>
      </c>
      <c r="E258" t="s">
        <v>287</v>
      </c>
    </row>
    <row r="259" spans="1:5" x14ac:dyDescent="0.25">
      <c r="A259" s="22" t="s">
        <v>398</v>
      </c>
      <c r="B259" s="3" t="str">
        <f>IFERROR(VLOOKUP(ING.ABROQUIMICOS[[#This Row],[CODIGO]],INV.AGROQUIMICOS[],2,FALSE),"NO EXISTE")</f>
        <v>Triadamin</v>
      </c>
      <c r="C259" s="4">
        <v>46038</v>
      </c>
      <c r="D259">
        <v>48</v>
      </c>
      <c r="E259" t="s">
        <v>287</v>
      </c>
    </row>
    <row r="260" spans="1:5" x14ac:dyDescent="0.25">
      <c r="A260" s="22" t="s">
        <v>534</v>
      </c>
      <c r="B260" s="3" t="str">
        <f>IFERROR(VLOOKUP(ING.ABROQUIMICOS[[#This Row],[CODIGO]],INV.AGROQUIMICOS[],2,FALSE),"NO EXISTE")</f>
        <v>Forcrop k35</v>
      </c>
      <c r="C260" s="4">
        <v>46038</v>
      </c>
      <c r="D260">
        <v>60</v>
      </c>
      <c r="E260" t="s">
        <v>287</v>
      </c>
    </row>
    <row r="261" spans="1:5" x14ac:dyDescent="0.25">
      <c r="A261" s="22" t="s">
        <v>348</v>
      </c>
      <c r="B261" s="3" t="str">
        <f>IFERROR(VLOOKUP(ING.ABROQUIMICOS[[#This Row],[CODIGO]],INV.AGROQUIMICOS[],2,FALSE),"NO EXISTE")</f>
        <v>Dinotop</v>
      </c>
      <c r="C261" s="4">
        <v>46038</v>
      </c>
      <c r="D261">
        <v>16</v>
      </c>
      <c r="E261" t="s">
        <v>287</v>
      </c>
    </row>
    <row r="262" spans="1:5" x14ac:dyDescent="0.25">
      <c r="A262" s="23" t="s">
        <v>491</v>
      </c>
      <c r="B262" s="24" t="str">
        <f>IFERROR(VLOOKUP(ING.ABROQUIMICOS[[#This Row],[CODIGO]],INV.AGROQUIMICOS[],2,FALSE),"NO EXISTE")</f>
        <v>Belico</v>
      </c>
      <c r="C262" s="4">
        <v>46038</v>
      </c>
      <c r="D262">
        <v>500</v>
      </c>
      <c r="E262" t="s">
        <v>516</v>
      </c>
    </row>
    <row r="263" spans="1:5" x14ac:dyDescent="0.25">
      <c r="A263" s="22" t="s">
        <v>536</v>
      </c>
      <c r="B263" s="3" t="str">
        <f>IFERROR(VLOOKUP(ING.ABROQUIMICOS[[#This Row],[CODIGO]],INV.AGROQUIMICOS[],2,FALSE),"NO EXISTE")</f>
        <v>Fosafem</v>
      </c>
      <c r="C263" s="46">
        <v>46041</v>
      </c>
      <c r="D263" s="3">
        <v>250</v>
      </c>
      <c r="E263" s="47" t="s">
        <v>328</v>
      </c>
    </row>
    <row r="264" spans="1:5" x14ac:dyDescent="0.25">
      <c r="A264" s="22" t="s">
        <v>361</v>
      </c>
      <c r="B264" s="3" t="str">
        <f>IFERROR(VLOOKUP(ING.ABROQUIMICOS[[#This Row],[CODIGO]],INV.AGROQUIMICOS[],2,FALSE),"NO EXISTE")</f>
        <v>Selecron</v>
      </c>
      <c r="C264" s="46">
        <v>46041</v>
      </c>
      <c r="D264" s="3">
        <v>50</v>
      </c>
      <c r="E264" s="47" t="s">
        <v>287</v>
      </c>
    </row>
    <row r="265" spans="1:5" x14ac:dyDescent="0.25">
      <c r="A265" s="22" t="s">
        <v>537</v>
      </c>
      <c r="B265" s="3" t="str">
        <f>IFERROR(VLOOKUP(ING.ABROQUIMICOS[[#This Row],[CODIGO]],INV.AGROQUIMICOS[],2,FALSE),"NO EXISTE")</f>
        <v>Zitron</v>
      </c>
      <c r="C265" s="46">
        <v>46041</v>
      </c>
      <c r="D265" s="3">
        <v>80</v>
      </c>
      <c r="E265" s="47" t="s">
        <v>287</v>
      </c>
    </row>
    <row r="266" spans="1:5" x14ac:dyDescent="0.25">
      <c r="A266" s="22" t="s">
        <v>18</v>
      </c>
      <c r="B266" s="3" t="str">
        <f>IFERROR(VLOOKUP(ING.ABROQUIMICOS[[#This Row],[CODIGO]],INV.AGROQUIMICOS[],2,FALSE),"NO EXISTE")</f>
        <v>Komus flex</v>
      </c>
      <c r="C266" s="46">
        <v>46042</v>
      </c>
      <c r="D266" s="3">
        <v>24</v>
      </c>
      <c r="E266" s="47" t="s">
        <v>268</v>
      </c>
    </row>
    <row r="267" spans="1:5" x14ac:dyDescent="0.25">
      <c r="A267" s="23" t="s">
        <v>68</v>
      </c>
      <c r="B267" s="24" t="str">
        <f>IFERROR(VLOOKUP(ING.ABROQUIMICOS[[#This Row],[CODIGO]],INV.AGROQUIMICOS[],2,FALSE),"NO EXISTE")</f>
        <v>Trump</v>
      </c>
      <c r="C267" s="48">
        <v>46042</v>
      </c>
      <c r="D267" s="24">
        <v>24</v>
      </c>
      <c r="E267" s="49" t="s">
        <v>268</v>
      </c>
    </row>
    <row r="268" spans="1:5" x14ac:dyDescent="0.25">
      <c r="A268" s="22" t="s">
        <v>486</v>
      </c>
      <c r="B268" s="3" t="str">
        <f>IFERROR(VLOOKUP(ING.ABROQUIMICOS[[#This Row],[CODIGO]],INV.AGROQUIMICOS[],2,FALSE),"NO EXISTE")</f>
        <v>colax</v>
      </c>
      <c r="C268" s="46">
        <v>46051</v>
      </c>
      <c r="D268">
        <v>240</v>
      </c>
      <c r="E268" t="s">
        <v>516</v>
      </c>
    </row>
    <row r="269" spans="1:5" x14ac:dyDescent="0.25">
      <c r="A269" s="22" t="s">
        <v>18</v>
      </c>
      <c r="B269" s="3" t="str">
        <f>IFERROR(VLOOKUP(ING.ABROQUIMICOS[[#This Row],[CODIGO]],INV.AGROQUIMICOS[],2,FALSE),"NO EXISTE")</f>
        <v>Komus flex</v>
      </c>
      <c r="C269" s="46">
        <v>46052</v>
      </c>
      <c r="D269">
        <v>24</v>
      </c>
      <c r="E269" t="s">
        <v>268</v>
      </c>
    </row>
    <row r="270" spans="1:5" x14ac:dyDescent="0.25">
      <c r="A270" s="22" t="s">
        <v>22</v>
      </c>
      <c r="B270" s="3" t="str">
        <f>IFERROR(VLOOKUP(ING.ABROQUIMICOS[[#This Row],[CODIGO]],INV.AGROQUIMICOS[],2,FALSE),"NO EXISTE")</f>
        <v xml:space="preserve">A-micsur zn </v>
      </c>
      <c r="C270" s="46">
        <v>46052</v>
      </c>
      <c r="D270">
        <v>120</v>
      </c>
      <c r="E270" t="s">
        <v>268</v>
      </c>
    </row>
    <row r="271" spans="1:5" x14ac:dyDescent="0.25">
      <c r="A271" s="22" t="s">
        <v>348</v>
      </c>
      <c r="B271" s="3" t="str">
        <f>IFERROR(VLOOKUP(ING.ABROQUIMICOS[[#This Row],[CODIGO]],INV.AGROQUIMICOS[],2,FALSE),"NO EXISTE")</f>
        <v>Dinotop</v>
      </c>
      <c r="C271" s="46">
        <v>46052</v>
      </c>
      <c r="D271">
        <v>30</v>
      </c>
      <c r="E271" t="s">
        <v>287</v>
      </c>
    </row>
    <row r="272" spans="1:5" x14ac:dyDescent="0.25">
      <c r="A272" s="22" t="s">
        <v>433</v>
      </c>
      <c r="B272" s="3" t="str">
        <f>IFERROR(VLOOKUP(ING.ABROQUIMICOS[[#This Row],[CODIGO]],INV.AGROQUIMICOS[],2,FALSE),"NO EXISTE")</f>
        <v>Pitbull</v>
      </c>
      <c r="C272" s="46">
        <v>46052</v>
      </c>
      <c r="D272">
        <v>25</v>
      </c>
      <c r="E272" t="s">
        <v>287</v>
      </c>
    </row>
    <row r="273" spans="1:5" x14ac:dyDescent="0.25">
      <c r="A273" s="22" t="s">
        <v>428</v>
      </c>
      <c r="B273" s="3" t="str">
        <f>IFERROR(VLOOKUP(ING.ABROQUIMICOS[[#This Row],[CODIGO]],INV.AGROQUIMICOS[],2,FALSE),"NO EXISTE")</f>
        <v>Magnun</v>
      </c>
      <c r="C273" s="46">
        <v>46052</v>
      </c>
      <c r="D273">
        <v>7</v>
      </c>
      <c r="E273" t="s">
        <v>287</v>
      </c>
    </row>
    <row r="274" spans="1:5" x14ac:dyDescent="0.25">
      <c r="A274" s="22" t="s">
        <v>542</v>
      </c>
      <c r="B274" s="3" t="str">
        <f>IFERROR(VLOOKUP(ING.ABROQUIMICOS[[#This Row],[CODIGO]],INV.AGROQUIMICOS[],2,FALSE),"NO EXISTE")</f>
        <v>Covertor</v>
      </c>
      <c r="C274" s="46">
        <v>46052</v>
      </c>
      <c r="D274">
        <v>20</v>
      </c>
      <c r="E274" t="s">
        <v>287</v>
      </c>
    </row>
    <row r="275" spans="1:5" x14ac:dyDescent="0.25">
      <c r="A275" s="22" t="s">
        <v>522</v>
      </c>
      <c r="B275" s="3" t="str">
        <f>IFERROR(VLOOKUP(ING.ABROQUIMICOS[[#This Row],[CODIGO]],INV.AGROQUIMICOS[],2,FALSE),"NO EXISTE")</f>
        <v>Quintal xtra</v>
      </c>
      <c r="C275" s="46">
        <v>46052</v>
      </c>
      <c r="D275">
        <v>25</v>
      </c>
      <c r="E275" t="s">
        <v>471</v>
      </c>
    </row>
    <row r="276" spans="1:5" x14ac:dyDescent="0.25">
      <c r="A276" s="22" t="s">
        <v>543</v>
      </c>
      <c r="B276" s="3" t="str">
        <f>IFERROR(VLOOKUP(ING.ABROQUIMICOS[[#This Row],[CODIGO]],INV.AGROQUIMICOS[],2,FALSE),"NO EXISTE")</f>
        <v>Matarex duo</v>
      </c>
      <c r="C276" s="46">
        <v>46057</v>
      </c>
      <c r="D276">
        <v>130</v>
      </c>
      <c r="E276" t="s">
        <v>328</v>
      </c>
    </row>
    <row r="277" spans="1:5" x14ac:dyDescent="0.25">
      <c r="A277" s="22" t="s">
        <v>349</v>
      </c>
      <c r="B277" s="3" t="str">
        <f>IFERROR(VLOOKUP(ING.ABROQUIMICOS[[#This Row],[CODIGO]],INV.AGROQUIMICOS[],2,FALSE),"NO EXISTE")</f>
        <v>Valent</v>
      </c>
      <c r="C277" s="46">
        <v>46057</v>
      </c>
      <c r="D277">
        <v>50</v>
      </c>
      <c r="E277" t="s">
        <v>287</v>
      </c>
    </row>
    <row r="278" spans="1:5" x14ac:dyDescent="0.25">
      <c r="A278" s="22" t="s">
        <v>544</v>
      </c>
      <c r="B278" s="3" t="str">
        <f>IFERROR(VLOOKUP(ING.ABROQUIMICOS[[#This Row],[CODIGO]],INV.AGROQUIMICOS[],2,FALSE),"NO EXISTE")</f>
        <v>Roundup</v>
      </c>
      <c r="C278" s="46">
        <v>46057</v>
      </c>
      <c r="D278">
        <v>195</v>
      </c>
      <c r="E278" t="s">
        <v>562</v>
      </c>
    </row>
    <row r="279" spans="1:5" x14ac:dyDescent="0.25">
      <c r="A279" s="22" t="s">
        <v>545</v>
      </c>
      <c r="B279" s="3" t="str">
        <f>IFERROR(VLOOKUP(ING.ABROQUIMICOS[[#This Row],[CODIGO]],INV.AGROQUIMICOS[],2,FALSE),"NO EXISTE")</f>
        <v>Tijereta platinum</v>
      </c>
      <c r="C279" s="46">
        <v>46064</v>
      </c>
      <c r="D279">
        <v>240</v>
      </c>
      <c r="E279" t="s">
        <v>562</v>
      </c>
    </row>
    <row r="280" spans="1:5" x14ac:dyDescent="0.25">
      <c r="A280" s="22" t="s">
        <v>546</v>
      </c>
      <c r="B280" s="3" t="str">
        <f>IFERROR(VLOOKUP(ING.ABROQUIMICOS[[#This Row],[CODIGO]],INV.AGROQUIMICOS[],2,FALSE),"NO EXISTE")</f>
        <v>Ciclet 24 ec</v>
      </c>
      <c r="C280" s="46">
        <v>46064</v>
      </c>
      <c r="D280">
        <v>100</v>
      </c>
      <c r="E280" t="s">
        <v>562</v>
      </c>
    </row>
    <row r="281" spans="1:5" x14ac:dyDescent="0.25">
      <c r="A281" s="22" t="s">
        <v>548</v>
      </c>
      <c r="B281" s="3" t="str">
        <f>IFERROR(VLOOKUP(ING.ABROQUIMICOS[[#This Row],[CODIGO]],INV.AGROQUIMICOS[],2,FALSE),"NO EXISTE")</f>
        <v>Silwet</v>
      </c>
      <c r="C281" s="46">
        <v>46064</v>
      </c>
      <c r="D281">
        <v>3</v>
      </c>
      <c r="E281" t="s">
        <v>562</v>
      </c>
    </row>
    <row r="282" spans="1:5" x14ac:dyDescent="0.25">
      <c r="A282" s="22" t="s">
        <v>547</v>
      </c>
      <c r="B282" s="3" t="str">
        <f>IFERROR(VLOOKUP(ING.ABROQUIMICOS[[#This Row],[CODIGO]],INV.AGROQUIMICOS[],2,FALSE),"NO EXISTE")</f>
        <v>Biolicitor cobre</v>
      </c>
      <c r="C282" s="46">
        <v>46064</v>
      </c>
      <c r="D282">
        <v>80</v>
      </c>
      <c r="E282" t="s">
        <v>562</v>
      </c>
    </row>
    <row r="283" spans="1:5" x14ac:dyDescent="0.25">
      <c r="A283" s="22" t="s">
        <v>486</v>
      </c>
      <c r="B283" s="3" t="str">
        <f>IFERROR(VLOOKUP(ING.ABROQUIMICOS[[#This Row],[CODIGO]],INV.AGROQUIMICOS[],2,FALSE),"NO EXISTE")</f>
        <v>colax</v>
      </c>
      <c r="C283" s="46">
        <v>46064</v>
      </c>
      <c r="D283">
        <v>200</v>
      </c>
      <c r="E283" t="s">
        <v>516</v>
      </c>
    </row>
    <row r="284" spans="1:5" x14ac:dyDescent="0.25">
      <c r="A284" s="22" t="s">
        <v>398</v>
      </c>
      <c r="B284" s="3" t="str">
        <f>IFERROR(VLOOKUP(ING.ABROQUIMICOS[[#This Row],[CODIGO]],INV.AGROQUIMICOS[],2,FALSE),"NO EXISTE")</f>
        <v>Triadamin</v>
      </c>
      <c r="C284" s="46">
        <v>46064</v>
      </c>
      <c r="D284">
        <v>64</v>
      </c>
      <c r="E284" t="s">
        <v>287</v>
      </c>
    </row>
    <row r="285" spans="1:5" x14ac:dyDescent="0.25">
      <c r="A285" s="22" t="s">
        <v>277</v>
      </c>
      <c r="B285" s="3" t="str">
        <f>IFERROR(VLOOKUP(ING.ABROQUIMICOS[[#This Row],[CODIGO]],INV.AGROQUIMICOS[],2,FALSE),"NO EXISTE")</f>
        <v>Vortis</v>
      </c>
      <c r="C285" s="46">
        <v>46064</v>
      </c>
      <c r="D285">
        <v>125</v>
      </c>
      <c r="E285" t="s">
        <v>287</v>
      </c>
    </row>
    <row r="286" spans="1:5" x14ac:dyDescent="0.25">
      <c r="A286" s="22" t="s">
        <v>50</v>
      </c>
      <c r="B286" s="3" t="str">
        <f>IFERROR(VLOOKUP(ING.ABROQUIMICOS[[#This Row],[CODIGO]],INV.AGROQUIMICOS[],2,FALSE),"NO EXISTE")</f>
        <v>Justiciero</v>
      </c>
      <c r="C286" s="46">
        <v>46064</v>
      </c>
      <c r="D286">
        <v>120</v>
      </c>
      <c r="E286" t="s">
        <v>287</v>
      </c>
    </row>
    <row r="287" spans="1:5" x14ac:dyDescent="0.25">
      <c r="A287" s="22" t="s">
        <v>428</v>
      </c>
      <c r="B287" s="3" t="str">
        <f>IFERROR(VLOOKUP(ING.ABROQUIMICOS[[#This Row],[CODIGO]],INV.AGROQUIMICOS[],2,FALSE),"NO EXISTE")</f>
        <v>Magnun</v>
      </c>
      <c r="C287" s="46">
        <v>46064</v>
      </c>
      <c r="D287">
        <v>7</v>
      </c>
      <c r="E287" t="s">
        <v>287</v>
      </c>
    </row>
    <row r="288" spans="1:5" x14ac:dyDescent="0.25">
      <c r="A288" s="22" t="s">
        <v>285</v>
      </c>
      <c r="B288" s="3" t="str">
        <f>IFERROR(VLOOKUP(ING.ABROQUIMICOS[[#This Row],[CODIGO]],INV.AGROQUIMICOS[],2,FALSE),"NO EXISTE")</f>
        <v>Cosmo oil</v>
      </c>
      <c r="C288" s="46">
        <v>46064</v>
      </c>
      <c r="D288">
        <v>80</v>
      </c>
      <c r="E288" t="s">
        <v>287</v>
      </c>
    </row>
    <row r="289" spans="1:5" x14ac:dyDescent="0.25">
      <c r="A289" s="22" t="s">
        <v>18</v>
      </c>
      <c r="B289" s="3" t="str">
        <f>IFERROR(VLOOKUP(ING.ABROQUIMICOS[[#This Row],[CODIGO]],INV.AGROQUIMICOS[],2,FALSE),"NO EXISTE")</f>
        <v>Komus flex</v>
      </c>
      <c r="C289" s="46">
        <v>46068</v>
      </c>
      <c r="D289">
        <v>24</v>
      </c>
      <c r="E289" t="s">
        <v>268</v>
      </c>
    </row>
    <row r="290" spans="1:5" x14ac:dyDescent="0.25">
      <c r="A290" s="23" t="s">
        <v>549</v>
      </c>
      <c r="B290" s="24" t="str">
        <f>IFERROR(VLOOKUP(ING.ABROQUIMICOS[[#This Row],[CODIGO]],INV.AGROQUIMICOS[],2,FALSE),"NO EXISTE")</f>
        <v>Hoprole</v>
      </c>
      <c r="C290" s="48">
        <v>46073</v>
      </c>
      <c r="D290">
        <v>32</v>
      </c>
      <c r="E290" t="s">
        <v>562</v>
      </c>
    </row>
    <row r="291" spans="1:5" x14ac:dyDescent="0.25">
      <c r="A291" s="22" t="s">
        <v>18</v>
      </c>
      <c r="B291" s="3" t="str">
        <f>IFERROR(VLOOKUP(ING.ABROQUIMICOS[[#This Row],[CODIGO]],INV.AGROQUIMICOS[],2,FALSE),"NO EXISTE")</f>
        <v>Komus flex</v>
      </c>
      <c r="C291" s="4">
        <v>46079</v>
      </c>
      <c r="D291">
        <v>24</v>
      </c>
      <c r="E291" t="s">
        <v>268</v>
      </c>
    </row>
    <row r="292" spans="1:5" x14ac:dyDescent="0.25">
      <c r="A292" s="22" t="s">
        <v>68</v>
      </c>
      <c r="B292" s="3" t="str">
        <f>IFERROR(VLOOKUP(ING.ABROQUIMICOS[[#This Row],[CODIGO]],INV.AGROQUIMICOS[],2,FALSE),"NO EXISTE")</f>
        <v>Trump</v>
      </c>
      <c r="C292" s="4">
        <v>46079</v>
      </c>
      <c r="D292">
        <v>12</v>
      </c>
      <c r="E292" t="s">
        <v>268</v>
      </c>
    </row>
    <row r="293" spans="1:5" x14ac:dyDescent="0.25">
      <c r="A293" s="22" t="s">
        <v>425</v>
      </c>
      <c r="B293" s="3" t="str">
        <f>IFERROR(VLOOKUP(ING.ABROQUIMICOS[[#This Row],[CODIGO]],INV.AGROQUIMICOS[],2,FALSE),"NO EXISTE")</f>
        <v>Jisafol</v>
      </c>
      <c r="C293" s="4">
        <v>46079</v>
      </c>
      <c r="D293">
        <v>100</v>
      </c>
      <c r="E293" t="s">
        <v>268</v>
      </c>
    </row>
    <row r="294" spans="1:5" x14ac:dyDescent="0.25">
      <c r="A294" s="23" t="s">
        <v>564</v>
      </c>
      <c r="B294" s="24" t="str">
        <f>IFERROR(VLOOKUP(ING.ABROQUIMICOS[[#This Row],[CODIGO]],INV.AGROQUIMICOS[],2,FALSE),"NO EXISTE")</f>
        <v>Proan</v>
      </c>
      <c r="C294" s="4">
        <v>46079</v>
      </c>
      <c r="D294">
        <v>45</v>
      </c>
      <c r="E294" t="s">
        <v>268</v>
      </c>
    </row>
    <row r="295" spans="1:5" x14ac:dyDescent="0.25">
      <c r="A295" s="23" t="s">
        <v>569</v>
      </c>
      <c r="B295" s="24" t="str">
        <f>IFERROR(VLOOKUP(ING.ABROQUIMICOS[[#This Row],[CODIGO]],INV.AGROQUIMICOS[],2,FALSE),"NO EXISTE")</f>
        <v>Wipeout 88</v>
      </c>
      <c r="C295" s="48">
        <v>46080</v>
      </c>
      <c r="D295" s="24">
        <v>250</v>
      </c>
      <c r="E295" t="s">
        <v>562</v>
      </c>
    </row>
    <row r="296" spans="1:5" x14ac:dyDescent="0.25">
      <c r="A296" s="23" t="s">
        <v>568</v>
      </c>
      <c r="B296" s="24" t="str">
        <f>IFERROR(VLOOKUP(ING.ABROQUIMICOS[[#This Row],[CODIGO]],INV.AGROQUIMICOS[],2,FALSE),"NO EXISTE")</f>
        <v>Puzate</v>
      </c>
      <c r="C296" s="48">
        <v>46080</v>
      </c>
      <c r="D296" s="24">
        <v>19</v>
      </c>
      <c r="E296" t="s">
        <v>562</v>
      </c>
    </row>
    <row r="297" spans="1:5" x14ac:dyDescent="0.25">
      <c r="A297" s="23" t="s">
        <v>348</v>
      </c>
      <c r="B297" s="24" t="str">
        <f>IFERROR(VLOOKUP(ING.ABROQUIMICOS[[#This Row],[CODIGO]],INV.AGROQUIMICOS[],2,FALSE),"NO EXISTE")</f>
        <v>Dinotop</v>
      </c>
      <c r="C297" s="48">
        <v>46083</v>
      </c>
      <c r="D297" s="24">
        <v>25</v>
      </c>
      <c r="E297" t="s">
        <v>287</v>
      </c>
    </row>
    <row r="298" spans="1:5" x14ac:dyDescent="0.25">
      <c r="A298" s="23" t="s">
        <v>285</v>
      </c>
      <c r="B298" s="24" t="str">
        <f>IFERROR(VLOOKUP(ING.ABROQUIMICOS[[#This Row],[CODIGO]],INV.AGROQUIMICOS[],2,FALSE),"NO EXISTE")</f>
        <v>Cosmo oil</v>
      </c>
      <c r="C298" s="48">
        <v>46083</v>
      </c>
      <c r="D298" s="24">
        <v>160</v>
      </c>
      <c r="E298" t="s">
        <v>287</v>
      </c>
    </row>
    <row r="299" spans="1:5" x14ac:dyDescent="0.25">
      <c r="A299" s="23" t="s">
        <v>570</v>
      </c>
      <c r="B299" s="24" t="str">
        <f>IFERROR(VLOOKUP(ING.ABROQUIMICOS[[#This Row],[CODIGO]],INV.AGROQUIMICOS[],2,FALSE),"NO EXISTE")</f>
        <v>Cosmo agua</v>
      </c>
      <c r="C299" s="48">
        <v>46083</v>
      </c>
      <c r="D299" s="24">
        <v>20</v>
      </c>
      <c r="E299" t="s">
        <v>287</v>
      </c>
    </row>
    <row r="300" spans="1:5" x14ac:dyDescent="0.25">
      <c r="A300" s="23" t="s">
        <v>18</v>
      </c>
      <c r="B300" s="24" t="str">
        <f>IFERROR(VLOOKUP(ING.ABROQUIMICOS[[#This Row],[CODIGO]],INV.AGROQUIMICOS[],2,FALSE),"NO EXISTE")</f>
        <v>Komus flex</v>
      </c>
      <c r="C300" s="48">
        <v>46085</v>
      </c>
      <c r="D300" s="24">
        <v>12</v>
      </c>
      <c r="E300" t="s">
        <v>268</v>
      </c>
    </row>
    <row r="301" spans="1:5" x14ac:dyDescent="0.25">
      <c r="A301" s="23" t="s">
        <v>425</v>
      </c>
      <c r="B301" s="24" t="str">
        <f>IFERROR(VLOOKUP(ING.ABROQUIMICOS[[#This Row],[CODIGO]],INV.AGROQUIMICOS[],2,FALSE),"NO EXISTE")</f>
        <v>Jisafol</v>
      </c>
      <c r="C301" s="48">
        <v>46085</v>
      </c>
      <c r="D301" s="24">
        <v>80</v>
      </c>
      <c r="E301" t="s">
        <v>268</v>
      </c>
    </row>
    <row r="302" spans="1:5" x14ac:dyDescent="0.25">
      <c r="A302" s="23" t="s">
        <v>574</v>
      </c>
      <c r="B302" s="24" t="str">
        <f>IFERROR(VLOOKUP(ING.ABROQUIMICOS[[#This Row],[CODIGO]],INV.AGROQUIMICOS[],2,FALSE),"NO EXISTE")</f>
        <v>Zapit</v>
      </c>
      <c r="C302" s="48">
        <v>46085</v>
      </c>
      <c r="D302" s="24">
        <v>100</v>
      </c>
      <c r="E302" t="s">
        <v>268</v>
      </c>
    </row>
    <row r="303" spans="1:5" x14ac:dyDescent="0.25">
      <c r="A303" s="22" t="s">
        <v>398</v>
      </c>
      <c r="B303" s="3" t="str">
        <f>IFERROR(VLOOKUP(ING.ABROQUIMICOS[[#This Row],[CODIGO]],INV.AGROQUIMICOS[],2,FALSE),"NO EXISTE")</f>
        <v>Triadamin</v>
      </c>
      <c r="C303" s="4">
        <v>46091</v>
      </c>
      <c r="D303">
        <v>112</v>
      </c>
      <c r="E303" t="s">
        <v>287</v>
      </c>
    </row>
    <row r="304" spans="1:5" x14ac:dyDescent="0.25">
      <c r="A304" s="22" t="s">
        <v>351</v>
      </c>
      <c r="B304" s="3" t="str">
        <f>IFERROR(VLOOKUP(ING.ABROQUIMICOS[[#This Row],[CODIGO]],INV.AGROQUIMICOS[],2,FALSE),"NO EXISTE")</f>
        <v>Corsair</v>
      </c>
      <c r="C304" s="4">
        <v>46091</v>
      </c>
      <c r="D304">
        <v>286</v>
      </c>
      <c r="E304" t="s">
        <v>287</v>
      </c>
    </row>
    <row r="305" spans="1:5" x14ac:dyDescent="0.25">
      <c r="A305" s="22" t="s">
        <v>285</v>
      </c>
      <c r="B305" s="3" t="str">
        <f>IFERROR(VLOOKUP(ING.ABROQUIMICOS[[#This Row],[CODIGO]],INV.AGROQUIMICOS[],2,FALSE),"NO EXISTE")</f>
        <v>Cosmo oil</v>
      </c>
      <c r="C305" s="4">
        <v>46091</v>
      </c>
      <c r="D305">
        <v>40</v>
      </c>
      <c r="E305" t="s">
        <v>287</v>
      </c>
    </row>
    <row r="306" spans="1:5" x14ac:dyDescent="0.25">
      <c r="A306" s="23" t="s">
        <v>348</v>
      </c>
      <c r="B306" s="24" t="str">
        <f>IFERROR(VLOOKUP(ING.ABROQUIMICOS[[#This Row],[CODIGO]],INV.AGROQUIMICOS[],2,FALSE),"NO EXISTE")</f>
        <v>Dinotop</v>
      </c>
      <c r="C306" s="4">
        <v>46091</v>
      </c>
      <c r="D306">
        <v>33</v>
      </c>
      <c r="E306" t="s">
        <v>287</v>
      </c>
    </row>
    <row r="307" spans="1:5" x14ac:dyDescent="0.25">
      <c r="A307" s="22" t="s">
        <v>348</v>
      </c>
      <c r="B307" s="24" t="str">
        <f>IFERROR(VLOOKUP(ING.ABROQUIMICOS[[#This Row],[CODIGO]],INV.AGROQUIMICOS[],2,FALSE),"NO EXISTE")</f>
        <v>Dinotop</v>
      </c>
      <c r="C307" s="4">
        <v>46105</v>
      </c>
      <c r="D307">
        <v>25</v>
      </c>
      <c r="E307" t="s">
        <v>287</v>
      </c>
    </row>
    <row r="308" spans="1:5" x14ac:dyDescent="0.25">
      <c r="A308" s="22" t="s">
        <v>277</v>
      </c>
      <c r="B308" s="24" t="str">
        <f>IFERROR(VLOOKUP(ING.ABROQUIMICOS[[#This Row],[CODIGO]],INV.AGROQUIMICOS[],2,FALSE),"NO EXISTE")</f>
        <v>Vortis</v>
      </c>
      <c r="C308" s="4">
        <v>46105</v>
      </c>
      <c r="D308">
        <v>25</v>
      </c>
      <c r="E308" t="s">
        <v>287</v>
      </c>
    </row>
    <row r="309" spans="1:5" x14ac:dyDescent="0.25">
      <c r="A309" s="22" t="s">
        <v>433</v>
      </c>
      <c r="B309" s="24" t="str">
        <f>IFERROR(VLOOKUP(ING.ABROQUIMICOS[[#This Row],[CODIGO]],INV.AGROQUIMICOS[],2,FALSE),"NO EXISTE")</f>
        <v>Pitbull</v>
      </c>
      <c r="C309" s="4">
        <v>46105</v>
      </c>
      <c r="D309">
        <v>45</v>
      </c>
      <c r="E309" t="s">
        <v>287</v>
      </c>
    </row>
    <row r="310" spans="1:5" x14ac:dyDescent="0.25">
      <c r="A310" s="22" t="s">
        <v>285</v>
      </c>
      <c r="B310" s="24" t="str">
        <f>IFERROR(VLOOKUP(ING.ABROQUIMICOS[[#This Row],[CODIGO]],INV.AGROQUIMICOS[],2,FALSE),"NO EXISTE")</f>
        <v>Cosmo oil</v>
      </c>
      <c r="C310" s="4">
        <v>46105</v>
      </c>
      <c r="D310">
        <v>80</v>
      </c>
      <c r="E310" t="s">
        <v>287</v>
      </c>
    </row>
    <row r="311" spans="1:5" x14ac:dyDescent="0.25">
      <c r="A311" s="22" t="s">
        <v>467</v>
      </c>
      <c r="B311" s="24" t="str">
        <f>IFERROR(VLOOKUP(ING.ABROQUIMICOS[[#This Row],[CODIGO]],INV.AGROQUIMICOS[],2,FALSE),"NO EXISTE")</f>
        <v>Gusafos 48</v>
      </c>
      <c r="C311" s="4">
        <v>46105</v>
      </c>
      <c r="D311">
        <v>160</v>
      </c>
      <c r="E311" t="s">
        <v>287</v>
      </c>
    </row>
    <row r="312" spans="1:5" x14ac:dyDescent="0.25">
      <c r="A312" s="22" t="s">
        <v>580</v>
      </c>
      <c r="B312" s="24" t="str">
        <f>IFERROR(VLOOKUP(ING.ABROQUIMICOS[[#This Row],[CODIGO]],INV.AGROQUIMICOS[],2,FALSE),"NO EXISTE")</f>
        <v>fungibin max 32</v>
      </c>
      <c r="C312" s="4">
        <v>46106</v>
      </c>
      <c r="D312">
        <v>115</v>
      </c>
      <c r="E312" t="s">
        <v>287</v>
      </c>
    </row>
    <row r="313" spans="1:5" x14ac:dyDescent="0.25">
      <c r="A313" s="22" t="s">
        <v>581</v>
      </c>
      <c r="B313" s="24" t="str">
        <f>IFERROR(VLOOKUP(ING.ABROQUIMICOS[[#This Row],[CODIGO]],INV.AGROQUIMICOS[],2,FALSE),"NO EXISTE")</f>
        <v>agrothryn</v>
      </c>
      <c r="C313" s="4">
        <v>46107</v>
      </c>
      <c r="D313">
        <v>100</v>
      </c>
      <c r="E313" t="s">
        <v>562</v>
      </c>
    </row>
    <row r="314" spans="1:5" x14ac:dyDescent="0.25">
      <c r="A314" s="22" t="s">
        <v>398</v>
      </c>
      <c r="B314" s="24" t="str">
        <f>IFERROR(VLOOKUP(ING.ABROQUIMICOS[[#This Row],[CODIGO]],INV.AGROQUIMICOS[],2,FALSE),"NO EXISTE")</f>
        <v>Triadamin</v>
      </c>
      <c r="C314" s="4">
        <v>46109</v>
      </c>
      <c r="D314">
        <v>64</v>
      </c>
      <c r="E314" t="s">
        <v>287</v>
      </c>
    </row>
    <row r="315" spans="1:5" x14ac:dyDescent="0.25">
      <c r="A315" s="22" t="s">
        <v>547</v>
      </c>
      <c r="B315" s="24" t="str">
        <f>IFERROR(VLOOKUP(ING.ABROQUIMICOS[[#This Row],[CODIGO]],INV.AGROQUIMICOS[],2,FALSE),"NO EXISTE")</f>
        <v>Biolicitor cobre</v>
      </c>
      <c r="C315" s="4">
        <v>46109</v>
      </c>
      <c r="D315">
        <v>45</v>
      </c>
      <c r="E315" t="s">
        <v>562</v>
      </c>
    </row>
    <row r="316" spans="1:5" x14ac:dyDescent="0.25">
      <c r="A316" s="22" t="s">
        <v>545</v>
      </c>
      <c r="B316" s="24" t="str">
        <f>IFERROR(VLOOKUP(ING.ABROQUIMICOS[[#This Row],[CODIGO]],INV.AGROQUIMICOS[],2,FALSE),"NO EXISTE")</f>
        <v>Tijereta platinum</v>
      </c>
      <c r="C316" s="4">
        <v>46113</v>
      </c>
      <c r="D316">
        <v>400</v>
      </c>
      <c r="E316" t="s">
        <v>562</v>
      </c>
    </row>
    <row r="317" spans="1:5" x14ac:dyDescent="0.25">
      <c r="A317" s="23" t="s">
        <v>582</v>
      </c>
      <c r="B317" s="24" t="str">
        <f>IFERROR(VLOOKUP(ING.ABROQUIMICOS[[#This Row],[CODIGO]],INV.AGROQUIMICOS[],2,FALSE),"NO EXISTE")</f>
        <v>capaz 50 sc</v>
      </c>
      <c r="C317" s="4">
        <v>46113</v>
      </c>
      <c r="D317">
        <v>100</v>
      </c>
      <c r="E317" t="s">
        <v>562</v>
      </c>
    </row>
    <row r="318" spans="1:5" x14ac:dyDescent="0.25">
      <c r="A318" t="s">
        <v>590</v>
      </c>
      <c r="B318" s="3" t="str">
        <f>IFERROR(VLOOKUP(ING.ABROQUIMICOS[[#This Row],[CODIGO]],INV.AGROQUIMICOS[],2,FALSE),"NO EXISTE")</f>
        <v>cosmo in</v>
      </c>
      <c r="C318" s="46">
        <v>46121</v>
      </c>
      <c r="D318">
        <v>8</v>
      </c>
      <c r="E318" t="s">
        <v>287</v>
      </c>
    </row>
    <row r="319" spans="1:5" x14ac:dyDescent="0.25">
      <c r="A319" t="s">
        <v>467</v>
      </c>
      <c r="B319" s="3" t="str">
        <f>IFERROR(VLOOKUP(ING.ABROQUIMICOS[[#This Row],[CODIGO]],INV.AGROQUIMICOS[],2,FALSE),"NO EXISTE")</f>
        <v>Gusafos 48</v>
      </c>
      <c r="C319" s="46">
        <v>46121</v>
      </c>
      <c r="D319">
        <v>160</v>
      </c>
      <c r="E319" t="s">
        <v>287</v>
      </c>
    </row>
    <row r="320" spans="1:5" x14ac:dyDescent="0.25">
      <c r="A320" t="s">
        <v>547</v>
      </c>
      <c r="B320" s="3" t="str">
        <f>IFERROR(VLOOKUP(ING.ABROQUIMICOS[[#This Row],[CODIGO]],INV.AGROQUIMICOS[],2,FALSE),"NO EXISTE")</f>
        <v>Biolicitor cobre</v>
      </c>
      <c r="C320" s="46">
        <v>46121</v>
      </c>
      <c r="D320">
        <v>25</v>
      </c>
      <c r="E320" t="s">
        <v>562</v>
      </c>
    </row>
    <row r="321" spans="1:5" x14ac:dyDescent="0.25">
      <c r="A321" t="s">
        <v>592</v>
      </c>
      <c r="B321" s="3" t="str">
        <f>IFERROR(VLOOKUP(ING.ABROQUIMICOS[[#This Row],[CODIGO]],INV.AGROQUIMICOS[],2,FALSE),"NO EXISTE")</f>
        <v>oleo vegetal</v>
      </c>
      <c r="C321" s="46">
        <v>46121</v>
      </c>
      <c r="D321">
        <v>80</v>
      </c>
      <c r="E321" t="s">
        <v>287</v>
      </c>
    </row>
    <row r="322" spans="1:5" x14ac:dyDescent="0.25">
      <c r="A322" t="s">
        <v>277</v>
      </c>
      <c r="B322" s="3" t="str">
        <f>IFERROR(VLOOKUP(ING.ABROQUIMICOS[[#This Row],[CODIGO]],INV.AGROQUIMICOS[],2,FALSE),"NO EXISTE")</f>
        <v>Vortis</v>
      </c>
      <c r="C322" s="46">
        <v>46121</v>
      </c>
      <c r="D322">
        <v>32</v>
      </c>
      <c r="E322" t="s">
        <v>287</v>
      </c>
    </row>
    <row r="323" spans="1:5" x14ac:dyDescent="0.25">
      <c r="A323" t="s">
        <v>594</v>
      </c>
      <c r="B323" s="3" t="str">
        <f>IFERROR(VLOOKUP(ING.ABROQUIMICOS[[#This Row],[CODIGO]],INV.AGROQUIMICOS[],2,FALSE),"NO EXISTE")</f>
        <v>avanti extra 50</v>
      </c>
      <c r="C323" s="46">
        <v>46127</v>
      </c>
      <c r="D323">
        <v>50</v>
      </c>
      <c r="E323" t="s">
        <v>287</v>
      </c>
    </row>
    <row r="324" spans="1:5" x14ac:dyDescent="0.25">
      <c r="A324" t="s">
        <v>596</v>
      </c>
      <c r="B324" s="24" t="str">
        <f>IFERROR(VLOOKUP(ING.ABROQUIMICOS[[#This Row],[CODIGO]],INV.AGROQUIMICOS[],2,FALSE),"NO EXISTE")</f>
        <v>mancoparts</v>
      </c>
      <c r="C324" s="48">
        <v>46127</v>
      </c>
      <c r="D324">
        <v>200</v>
      </c>
      <c r="E324" t="s">
        <v>562</v>
      </c>
    </row>
  </sheetData>
  <sortState xmlns:xlrd2="http://schemas.microsoft.com/office/spreadsheetml/2017/richdata2" ref="A5:E74">
    <sortCondition ref="A4:A74"/>
  </sortState>
  <mergeCells count="4">
    <mergeCell ref="A1:N1"/>
    <mergeCell ref="A2:N2"/>
    <mergeCell ref="A3:E3"/>
    <mergeCell ref="G3:N3"/>
  </mergeCells>
  <phoneticPr fontId="7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AGROQUIMICOS</vt:lpstr>
      <vt:lpstr>SEMILLA</vt:lpstr>
      <vt:lpstr>SALIDAS</vt:lpstr>
      <vt:lpstr>INGRESO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tacuaral tacuaral</cp:lastModifiedBy>
  <cp:lastPrinted>2025-04-09T15:18:07Z</cp:lastPrinted>
  <dcterms:created xsi:type="dcterms:W3CDTF">2023-11-10T13:06:11Z</dcterms:created>
  <dcterms:modified xsi:type="dcterms:W3CDTF">2026-04-27T15:28:46Z</dcterms:modified>
</cp:coreProperties>
</file>